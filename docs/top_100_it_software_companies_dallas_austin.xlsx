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8bf84732d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100" sheetId="1" r:id="R420f110a767c416e"/>
    <x:sheet xmlns:r="http://schemas.openxmlformats.org/officeDocument/2006/relationships" name="Summary" sheetId="2" r:id="Rbfd14a23ad3f43c5"/>
    <x:sheet xmlns:r="http://schemas.openxmlformats.org/officeDocument/2006/relationships" name="Sources" sheetId="3" r:id="Rbbae54bfb204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293B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11cf777004907" /><Relationship Type="http://schemas.openxmlformats.org/officeDocument/2006/relationships/theme" Target="/xl/theme/theme1.xml" Id="R58a718edadb84544" /><Relationship Type="http://schemas.openxmlformats.org/officeDocument/2006/relationships/sharedStrings" Target="/xl/sharedStrings.xml" Id="Ra8b1da6c2cd741f6" /><Relationship Type="http://schemas.openxmlformats.org/officeDocument/2006/relationships/worksheet" Target="/xl/worksheets/sheet1.xml" Id="R420f110a767c416e" /><Relationship Type="http://schemas.openxmlformats.org/officeDocument/2006/relationships/worksheet" Target="/xl/worksheets/sheet2.xml" Id="Rbfd14a23ad3f43c5" /><Relationship Type="http://schemas.openxmlformats.org/officeDocument/2006/relationships/worksheet" Target="/xl/worksheets/sheet3.xml" Id="Rbbae54bfb2044917" /></Relationships>
</file>

<file path=xl/tables/table1.xml><?xml version="1.0" encoding="utf-8"?>
<x:table xmlns:x="http://schemas.openxmlformats.org/spreadsheetml/2006/main" id="1" name="Top100Companies" displayName="Top100Companies" ref="A1:P101" headerRowCount="1">
  <x:tableColumns count="16">
    <x:tableColumn id="1" name="Rank"/>
    <x:tableColumn id="2" name="Metro"/>
    <x:tableColumn id="3" name="City/Area"/>
    <x:tableColumn id="4" name="Company"/>
    <x:tableColumn id="5" name="Local presence"/>
    <x:tableColumn id="6" name="Segment"/>
    <x:tableColumn id="7" name="Role targets"/>
    <x:tableColumn id="8" name="Senior+ level target"/>
    <x:tableColumn id="9" name="Senior+ TC signal"/>
    <x:tableColumn id="10" name="TC low $K"/>
    <x:tableColumn id="11" name="TC high $K"/>
    <x:tableColumn id="12" name="TC midpoint $K"/>
    <x:tableColumn id="13" name="Comp basis"/>
    <x:tableColumn id="14" name="Company/source URL"/>
    <x:tableColumn id="15" name="Levels/comp URL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Table" displayName="SourceTable" ref="A1:D11" headerRowCount="1">
  <x:tableColumns count="4">
    <x:tableColumn id="1" name="Source"/>
    <x:tableColumn id="2" name="URL"/>
    <x:tableColumn id="3" name="Used for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7ffbf04d804d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d83fcb015f48a4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8" hidden="0" customWidth="1"/>
    <x:col min="4" max="4" width="26" hidden="0" customWidth="1"/>
    <x:col min="5" max="5" width="36" hidden="0" customWidth="1"/>
    <x:col min="6" max="6" width="30" hidden="0" customWidth="1"/>
    <x:col min="7" max="7" width="34" hidden="0" customWidth="1"/>
    <x:col min="8" max="8" width="24" hidden="0" customWidth="1"/>
    <x:col min="9" max="9" width="48" hidden="0" customWidth="1"/>
    <x:col min="10" max="10" width="11" hidden="0" customWidth="1"/>
    <x:col min="11" max="11" width="11" hidden="0" customWidth="1"/>
    <x:col min="12" max="12" width="13" hidden="0" customWidth="1"/>
    <x:col min="13" max="13" width="38" hidden="0" customWidth="1"/>
    <x:col min="14" max="14" width="46" hidden="0" customWidth="1"/>
    <x:col min="15" max="15" width="46" hidden="0" customWidth="1"/>
    <x:col min="16" max="16" width="48" hidden="0" customWidth="1"/>
  </x:cols>
  <x:sheetData>
    <x:row r="1" ht="34" customHeight="1">
      <x:c r="A1" s="6" t="str">
        <x:v>Rank</x:v>
      </x:c>
      <x:c r="B1" s="6" t="str">
        <x:v>Metro</x:v>
      </x:c>
      <x:c r="C1" s="6" t="str">
        <x:v>City/Area</x:v>
      </x:c>
      <x:c r="D1" s="6" t="str">
        <x:v>Company</x:v>
      </x:c>
      <x:c r="E1" s="6" t="str">
        <x:v>Local presence</x:v>
      </x:c>
      <x:c r="F1" s="6" t="str">
        <x:v>Segment</x:v>
      </x:c>
      <x:c r="G1" s="6" t="str">
        <x:v>Role targets</x:v>
      </x:c>
      <x:c r="H1" s="6" t="str">
        <x:v>Senior+ level target</x:v>
      </x:c>
      <x:c r="I1" s="6" t="str">
        <x:v>Senior+ TC signal</x:v>
      </x:c>
      <x:c r="J1" s="6" t="str">
        <x:v>TC low $K</x:v>
      </x:c>
      <x:c r="K1" s="6" t="str">
        <x:v>TC high $K</x:v>
      </x:c>
      <x:c r="L1" s="6" t="str">
        <x:v>TC midpoint $K</x:v>
      </x:c>
      <x:c r="M1" s="6" t="str">
        <x:v>Comp basis</x:v>
      </x:c>
      <x:c r="N1" s="6" t="str">
        <x:v>Company/source URL</x:v>
      </x:c>
      <x:c r="O1" s="6" t="str">
        <x:v>Levels/comp URL</x:v>
      </x:c>
      <x:c r="P1" s="6" t="str">
        <x:v>Notes</x:v>
      </x:c>
    </x:row>
    <x:row r="2" ht="54" customHeight="1">
      <x:c r="A2" s="16" t="n">
        <x:v>1</x:v>
      </x:c>
      <x:c r="B2" s="14" t="str">
        <x:v>Austin</x:v>
      </x:c>
      <x:c r="C2" s="14" t="str">
        <x:v>Austin</x:v>
      </x:c>
      <x:c r="D2" s="14" t="str">
        <x:v>Meta</x:v>
      </x:c>
      <x:c r="E2" s="14" t="str">
        <x:v>Major Austin office/campus in Austin metro</x:v>
      </x:c>
      <x:c r="F2" s="14" t="str">
        <x:v>AI, social platforms, infrastructure</x:v>
      </x:c>
      <x:c r="G2" s="14" t="str">
        <x:v>Backend, ML, infra, Android/iOS, data</x:v>
      </x:c>
      <x:c r="H2" s="14" t="str">
        <x:v>E5 Senior / E6 Staff</x:v>
      </x:c>
      <x:c r="I2" s="14" t="str">
        <x:v>Levels.fyi Austin SWE: E5 $448K, E6 $764K</x:v>
      </x:c>
      <x:c r="J2" s="20" t="n">
        <x:v>448</x:v>
      </x:c>
      <x:c r="K2" s="20" t="n">
        <x:v>764</x:v>
      </x:c>
      <x:c r="L2" s="20" t="n">
        <x:f>IFERROR(ROUND(AVERAGE(J2:K2),0),"")</x:f>
        <x:v>606</x:v>
      </x:c>
      <x:c r="M2" s="14" t="str">
        <x:v>Levels.fyi company metro senior+ data</x:v>
      </x:c>
      <x:c r="N2" s="14" t="str">
        <x:v>https://roundrockchamber.org/doing-business/major-employers/</x:v>
      </x:c>
      <x:c r="O2" s="14" t="str">
        <x:v>https://www.levels.fyi/companies/meta/salaries/software-engineer/locations/greater-austin-area</x:v>
      </x:c>
      <x:c r="P2" s="14" t="str">
        <x:v>High-upside big-tech target; verify team location and hybrid policy.</x:v>
      </x:c>
    </x:row>
    <x:row r="3" ht="54" customHeight="1">
      <x:c r="A3" s="16" t="n">
        <x:v>2</x:v>
      </x:c>
      <x:c r="B3" s="14" t="str">
        <x:v>Austin</x:v>
      </x:c>
      <x:c r="C3" s="14" t="str">
        <x:v>Austin</x:v>
      </x:c>
      <x:c r="D3" s="14" t="str">
        <x:v>Google</x:v>
      </x:c>
      <x:c r="E3" s="14" t="str">
        <x:v>Major Austin office in Austin metro</x:v>
      </x:c>
      <x:c r="F3" s="14" t="str">
        <x:v>Cloud, search, AI, developer platforms</x:v>
      </x:c>
      <x:c r="G3" s="14" t="str">
        <x:v>Backend, distributed systems, SRE, ML, data</x:v>
      </x:c>
      <x:c r="H3" s="14" t="str">
        <x:v>L5 Senior / L6 Staff</x:v>
      </x:c>
      <x:c r="I3" s="14" t="str">
        <x:v>Levels.fyi Austin SWE: L5 $349K, L6 $425K</x:v>
      </x:c>
      <x:c r="J3" s="20" t="n">
        <x:v>349</x:v>
      </x:c>
      <x:c r="K3" s="20" t="n">
        <x:v>425</x:v>
      </x:c>
      <x:c r="L3" s="20" t="n">
        <x:f>IFERROR(ROUND(AVERAGE(J3:K3),0),"")</x:f>
        <x:v>387</x:v>
      </x:c>
      <x:c r="M3" s="14" t="str">
        <x:v>Levels.fyi company metro senior+ data</x:v>
      </x:c>
      <x:c r="N3" s="14" t="str">
        <x:v>https://roundrockchamber.org/doing-business/major-employers/</x:v>
      </x:c>
      <x:c r="O3" s="14" t="str">
        <x:v>https://www.levels.fyi/companies/google/salaries/software-engineer/locations/greater-austin-area</x:v>
      </x:c>
      <x:c r="P3" s="14" t="str">
        <x:v>Strong senior/staff comp signal.</x:v>
      </x:c>
    </x:row>
    <x:row r="4" ht="54" customHeight="1">
      <x:c r="A4" s="16" t="n">
        <x:v>3</x:v>
      </x:c>
      <x:c r="B4" s="14" t="str">
        <x:v>Austin</x:v>
      </x:c>
      <x:c r="C4" s="14" t="str">
        <x:v>Austin / Round Rock</x:v>
      </x:c>
      <x:c r="D4" s="14" t="str">
        <x:v>NVIDIA</x:v>
      </x:c>
      <x:c r="E4" s="14" t="str">
        <x:v>Austin/Round Rock engineering presence</x:v>
      </x:c>
      <x:c r="F4" s="14" t="str">
        <x:v>AI compute, GPU systems, developer platforms</x:v>
      </x:c>
      <x:c r="G4" s="14" t="str">
        <x:v>Systems, ML infra, compiler, embedded, HPC</x:v>
      </x:c>
      <x:c r="H4" s="14" t="str">
        <x:v>IC3–IC6 senior/staff path</x:v>
      </x:c>
      <x:c r="I4" s="14" t="str">
        <x:v>Levels.fyi Austin SWE: IC3 $229K, IC4 $306K, IC6 up to $578K</x:v>
      </x:c>
      <x:c r="J4" s="20" t="n">
        <x:v>229</x:v>
      </x:c>
      <x:c r="K4" s="20" t="n">
        <x:v>578</x:v>
      </x:c>
      <x:c r="L4" s="20" t="n">
        <x:f>IFERROR(ROUND(AVERAGE(J4:K4),0),"")</x:f>
        <x:v>404</x:v>
      </x:c>
      <x:c r="M4" s="14" t="str">
        <x:v>Levels.fyi company metro data; level fit varies by role</x:v>
      </x:c>
      <x:c r="N4" s="14" t="str">
        <x:v>https://roundrockchamber.org/doing-business/major-employers/</x:v>
      </x:c>
      <x:c r="O4" s="14" t="str">
        <x:v>https://www.levels.fyi/companies/nvidia/salaries/software-engineer/locations/greater-austin-area</x:v>
      </x:c>
      <x:c r="P4" s="14" t="str">
        <x:v>Best fit for low-level, AI infra, systems, CUDA/HPC experience.</x:v>
      </x:c>
    </x:row>
    <x:row r="5" ht="54" customHeight="1">
      <x:c r="A5" s="16" t="n">
        <x:v>4</x:v>
      </x:c>
      <x:c r="B5" s="14" t="str">
        <x:v>Austin</x:v>
      </x:c>
      <x:c r="C5" s="14" t="str">
        <x:v>Austin</x:v>
      </x:c>
      <x:c r="D5" s="14" t="str">
        <x:v>Apple</x:v>
      </x:c>
      <x:c r="E5" s="14" t="str">
        <x:v>Large Austin campus and engineering/operations center</x:v>
      </x:c>
      <x:c r="F5" s="14" t="str">
        <x:v>Consumer tech, silicon, services, platforms</x:v>
      </x:c>
      <x:c r="G5" s="14" t="str">
        <x:v>iOS, backend, silicon/embedded, cloud services, tooling</x:v>
      </x:c>
      <x:c r="H5" s="14" t="str">
        <x:v>ICT4 Senior / ICT5</x:v>
      </x:c>
      <x:c r="I5" s="14" t="str">
        <x:v>Levels.fyi Austin SWE: ICT4 $308K, ICT5 $436K</x:v>
      </x:c>
      <x:c r="J5" s="20" t="n">
        <x:v>308</x:v>
      </x:c>
      <x:c r="K5" s="20" t="n">
        <x:v>436</x:v>
      </x:c>
      <x:c r="L5" s="20" t="n">
        <x:f>IFERROR(ROUND(AVERAGE(J5:K5),0),"")</x:f>
        <x:v>372</x:v>
      </x:c>
      <x:c r="M5" s="14" t="str">
        <x:v>Levels.fyi company metro senior+ data</x:v>
      </x:c>
      <x:c r="N5" s="14" t="str">
        <x:v>https://opportunityaustin.com/economic-development/major-employers/</x:v>
      </x:c>
      <x:c r="O5" s="14" t="str">
        <x:v>https://www.levels.fyi/companies/apple/salaries/software-engineer/locations/greater-austin-area</x:v>
      </x:c>
      <x:c r="P5" s="14" t="str">
        <x:v>Opportunity Austin lists Apple among 6,000+ employers.</x:v>
      </x:c>
    </x:row>
    <x:row r="6" ht="54" customHeight="1">
      <x:c r="A6" s="16" t="n">
        <x:v>5</x:v>
      </x:c>
      <x:c r="B6" s="14" t="str">
        <x:v>Austin</x:v>
      </x:c>
      <x:c r="C6" s="14" t="str">
        <x:v>Austin</x:v>
      </x:c>
      <x:c r="D6" s="14" t="str">
        <x:v>Amazon / AWS</x:v>
      </x:c>
      <x:c r="E6" s="14" t="str">
        <x:v>Austin engineering and cloud/ops presence</x:v>
      </x:c>
      <x:c r="F6" s="14" t="str">
        <x:v>Cloud infrastructure, ecommerce, AI/data platforms</x:v>
      </x:c>
      <x:c r="G6" s="14" t="str">
        <x:v>Backend, distributed systems, SRE, data, security</x:v>
      </x:c>
      <x:c r="H6" s="14" t="str">
        <x:v>L5 SDE II / L6 SDE III</x:v>
      </x:c>
      <x:c r="I6" s="14" t="str">
        <x:v>Levels.fyi Austin SWE: L5 $267K, L6 $371K</x:v>
      </x:c>
      <x:c r="J6" s="20" t="n">
        <x:v>267</x:v>
      </x:c>
      <x:c r="K6" s="20" t="n">
        <x:v>371</x:v>
      </x:c>
      <x:c r="L6" s="20" t="n">
        <x:f>IFERROR(ROUND(AVERAGE(J6:K6),0),"")</x:f>
        <x:v>319</x:v>
      </x:c>
      <x:c r="M6" s="14" t="str">
        <x:v>Levels.fyi company metro senior+ data</x:v>
      </x:c>
      <x:c r="N6" s="14" t="str">
        <x:v>https://opportunityaustin.com/economic-development/major-employers/</x:v>
      </x:c>
      <x:c r="O6" s="14" t="str">
        <x:v>https://www.levels.fyi/companies/amazon/salaries/software-engineer/locations/greater-austin-area</x:v>
      </x:c>
      <x:c r="P6" s="14" t="str">
        <x:v>Use team/org filter; AWS roles can differ materially from retail tech roles.</x:v>
      </x:c>
    </x:row>
    <x:row r="7" ht="54" customHeight="1">
      <x:c r="A7" s="16" t="n">
        <x:v>6</x:v>
      </x:c>
      <x:c r="B7" s="14" t="str">
        <x:v>Austin</x:v>
      </x:c>
      <x:c r="C7" s="14" t="str">
        <x:v>Austin</x:v>
      </x:c>
      <x:c r="D7" s="14" t="str">
        <x:v>Tesla</x:v>
      </x:c>
      <x:c r="E7" s="14" t="str">
        <x:v>Austin HQ/Gigafactory and AI/self-driving tech development</x:v>
      </x:c>
      <x:c r="F7" s="14" t="str">
        <x:v>EV, autonomy, manufacturing software, AI</x:v>
      </x:c>
      <x:c r="G7" s="14" t="str">
        <x:v>Backend, embedded, robotics, manufacturing systems, data/ML</x:v>
      </x:c>
      <x:c r="H7" s="14" t="str">
        <x:v>P3 Senior / P4 Staff</x:v>
      </x:c>
      <x:c r="I7" s="14" t="str">
        <x:v>Levels.fyi Austin SWE: P3 $187K, P4 $390K</x:v>
      </x:c>
      <x:c r="J7" s="20" t="n">
        <x:v>187</x:v>
      </x:c>
      <x:c r="K7" s="20" t="n">
        <x:v>390</x:v>
      </x:c>
      <x:c r="L7" s="20" t="n">
        <x:f>IFERROR(ROUND(AVERAGE(J7:K7),0),"")</x:f>
        <x:v>289</x:v>
      </x:c>
      <x:c r="M7" s="14" t="str">
        <x:v>Levels.fyi company metro senior+ data</x:v>
      </x:c>
      <x:c r="N7" s="14" t="str">
        <x:v>https://opportunityaustin.com/economic-development/major-employers/</x:v>
      </x:c>
      <x:c r="O7" s="14" t="str">
        <x:v>https://www.levels.fyi/companies/tesla/salaries/software-engineer/locations/greater-austin-area</x:v>
      </x:c>
      <x:c r="P7" s="14" t="str">
        <x:v>Opportunity Austin notes chip design and AI/self-driving tech development.</x:v>
      </x:c>
    </x:row>
    <x:row r="8" ht="54" customHeight="1">
      <x:c r="A8" s="16" t="n">
        <x:v>7</x:v>
      </x:c>
      <x:c r="B8" s="14" t="str">
        <x:v>Austin</x:v>
      </x:c>
      <x:c r="C8" s="14" t="str">
        <x:v>Austin</x:v>
      </x:c>
      <x:c r="D8" s="14" t="str">
        <x:v>Oracle</x:v>
      </x:c>
      <x:c r="E8" s="14" t="str">
        <x:v>Austin-area HQ/cloud presence</x:v>
      </x:c>
      <x:c r="F8" s="14" t="str">
        <x:v>Cloud infrastructure, databases, enterprise software</x:v>
      </x:c>
      <x:c r="G8" s="14" t="str">
        <x:v>Backend, cloud, databases, security, platform engineering</x:v>
      </x:c>
      <x:c r="H8" s="14" t="str">
        <x:v>IC3–IC5</x:v>
      </x:c>
      <x:c r="I8" s="14" t="str">
        <x:v>Levels.fyi Austin SWE: IC3 $203K, IC5 $265K</x:v>
      </x:c>
      <x:c r="J8" s="20" t="n">
        <x:v>203</x:v>
      </x:c>
      <x:c r="K8" s="20" t="n">
        <x:v>265</x:v>
      </x:c>
      <x:c r="L8" s="20" t="n">
        <x:f>IFERROR(ROUND(AVERAGE(J8:K8),0),"")</x:f>
        <x:v>234</x:v>
      </x:c>
      <x:c r="M8" s="14" t="str">
        <x:v>Levels.fyi company metro senior+ data</x:v>
      </x:c>
      <x:c r="N8" s="14" t="str">
        <x:v>https://roundrockchamber.org/doing-business/major-employers/</x:v>
      </x:c>
      <x:c r="O8" s="14" t="str">
        <x:v>https://www.levels.fyi/companies/oracle/salaries/software-engineer/locations/greater-austin-area</x:v>
      </x:c>
      <x:c r="P8" s="14" t="str">
        <x:v>Strong enterprise/cloud target.</x:v>
      </x:c>
    </x:row>
    <x:row r="9" ht="54" customHeight="1">
      <x:c r="A9" s="16" t="n">
        <x:v>8</x:v>
      </x:c>
      <x:c r="B9" s="14" t="str">
        <x:v>Austin</x:v>
      </x:c>
      <x:c r="C9" s="14" t="str">
        <x:v>Austin</x:v>
      </x:c>
      <x:c r="D9" s="14" t="str">
        <x:v>Atlassian</x:v>
      </x:c>
      <x:c r="E9" s="14" t="str">
        <x:v>Austin presence in dev-productivity SaaS</x:v>
      </x:c>
      <x:c r="F9" s="14" t="str">
        <x:v>Developer tools, collaboration, enterprise SaaS</x:v>
      </x:c>
      <x:c r="G9" s="14" t="str">
        <x:v>Backend, frontend, platform, data, SRE</x:v>
      </x:c>
      <x:c r="H9" s="14" t="str">
        <x:v>P50 Senior / P60 Principal</x:v>
      </x:c>
      <x:c r="I9" s="14" t="str">
        <x:v>Levels.fyi Austin SWE: P50 $313K, P60 $446K</x:v>
      </x:c>
      <x:c r="J9" s="20" t="n">
        <x:v>313</x:v>
      </x:c>
      <x:c r="K9" s="20" t="n">
        <x:v>446</x:v>
      </x:c>
      <x:c r="L9" s="20" t="n">
        <x:f>IFERROR(ROUND(AVERAGE(J9:K9),0),"")</x:f>
        <x:v>380</x:v>
      </x:c>
      <x:c r="M9" s="14" t="str">
        <x:v>Levels.fyi company metro senior+ data</x:v>
      </x:c>
      <x:c r="N9" s="14" t="str">
        <x:v>https://www.builtinaustin.com/companies/type/software-companies</x:v>
      </x:c>
      <x:c r="O9" s="14" t="str">
        <x:v>https://www.levels.fyi/companies/atlassian/salaries/software-engineer/locations/greater-austin-area</x:v>
      </x:c>
      <x:c r="P9" s="14" t="str">
        <x:v>Premium SaaS senior/staff comp target.</x:v>
      </x:c>
    </x:row>
    <x:row r="10" ht="54" customHeight="1">
      <x:c r="A10" s="16" t="n">
        <x:v>9</x:v>
      </x:c>
      <x:c r="B10" s="14" t="str">
        <x:v>Austin</x:v>
      </x:c>
      <x:c r="C10" s="14" t="str">
        <x:v>Austin</x:v>
      </x:c>
      <x:c r="D10" s="14" t="str">
        <x:v>Microsoft</x:v>
      </x:c>
      <x:c r="E10" s="14" t="str">
        <x:v>Austin engineering/cloud presence</x:v>
      </x:c>
      <x:c r="F10" s="14" t="str">
        <x:v>Cloud, AI, productivity and enterprise platforms</x:v>
      </x:c>
      <x:c r="G10" s="14" t="str">
        <x:v>Backend, Azure, data, security, SRE</x:v>
      </x:c>
      <x:c r="H10" s="14" t="str">
        <x:v>62 Senior / 63–65 Principal path</x:v>
      </x:c>
      <x:c r="I10" s="14" t="str">
        <x:v>Levels.fyi Austin SWE: 62 $188K, up to 65 $303K</x:v>
      </x:c>
      <x:c r="J10" s="20" t="n">
        <x:v>188</x:v>
      </x:c>
      <x:c r="K10" s="20" t="n">
        <x:v>303</x:v>
      </x:c>
      <x:c r="L10" s="20" t="n">
        <x:f>IFERROR(ROUND(AVERAGE(J10:K10),0),"")</x:f>
        <x:v>246</x:v>
      </x:c>
      <x:c r="M10" s="14" t="str">
        <x:v>Levels.fyi company metro data</x:v>
      </x:c>
      <x:c r="N10" s="14" t="str">
        <x:v>https://roundrockchamber.org/doing-business/major-employers/</x:v>
      </x:c>
      <x:c r="O10" s="14" t="str">
        <x:v>https://www.levels.fyi/companies/microsoft/salaries/software-engineer/locations/greater-austin-area</x:v>
      </x:c>
      <x:c r="P10" s="14" t="str">
        <x:v>Use org-specific filters: Azure, security, AI, enterprise apps.</x:v>
      </x:c>
    </x:row>
    <x:row r="11" ht="54" customHeight="1">
      <x:c r="A11" s="16" t="n">
        <x:v>10</x:v>
      </x:c>
      <x:c r="B11" s="14" t="str">
        <x:v>Austin</x:v>
      </x:c>
      <x:c r="C11" s="14" t="str">
        <x:v>Austin</x:v>
      </x:c>
      <x:c r="D11" s="14" t="str">
        <x:v>LinkedIn</x:v>
      </x:c>
      <x:c r="E11" s="14" t="str">
        <x:v>Austin tech presence</x:v>
      </x:c>
      <x:c r="F11" s="14" t="str">
        <x:v>Professional network, ads, data platforms</x:v>
      </x:c>
      <x:c r="G11" s="14" t="str">
        <x:v>Backend, data infra, search/ranking, ML, frontend</x:v>
      </x:c>
      <x:c r="H11" s="14" t="str">
        <x:v>IC3 Senior / IC4 Staff</x:v>
      </x:c>
      <x:c r="I11" s="14" t="str">
        <x:v>Levels.fyi Austin SWE: IC3 $283K, IC4 $326K</x:v>
      </x:c>
      <x:c r="J11" s="20" t="n">
        <x:v>283</x:v>
      </x:c>
      <x:c r="K11" s="20" t="n">
        <x:v>326</x:v>
      </x:c>
      <x:c r="L11" s="20" t="n">
        <x:f>IFERROR(ROUND(AVERAGE(J11:K11),0),"")</x:f>
        <x:v>305</x:v>
      </x:c>
      <x:c r="M11" s="14" t="str">
        <x:v>Levels.fyi company metro senior+ data</x:v>
      </x:c>
      <x:c r="N11" s="14" t="str">
        <x:v>https://www.builtinaustin.com/companies/type/software-companies</x:v>
      </x:c>
      <x:c r="O11" s="14" t="str">
        <x:v>https://www.levels.fyi/companies/linkedin/salaries/software-engineer/locations/greater-austin-area</x:v>
      </x:c>
      <x:c r="P11" s="14" t="str">
        <x:v>Microsoft-owned but comp/levels can differ by org.</x:v>
      </x:c>
    </x:row>
    <x:row r="12" ht="54" customHeight="1">
      <x:c r="A12" s="16" t="n">
        <x:v>11</x:v>
      </x:c>
      <x:c r="B12" s="14" t="str">
        <x:v>Austin</x:v>
      </x:c>
      <x:c r="C12" s="14" t="str">
        <x:v>Round Rock / Austin</x:v>
      </x:c>
      <x:c r="D12" s="14" t="str">
        <x:v>Dell Technologies</x:v>
      </x:c>
      <x:c r="E12" s="14" t="str">
        <x:v>Global HQ in Round Rock/Austin metro</x:v>
      </x:c>
      <x:c r="F12" s="14" t="str">
        <x:v>Enterprise infrastructure, cloud, storage, security</x:v>
      </x:c>
      <x:c r="G12" s="14" t="str">
        <x:v>Backend, systems, distributed storage, cloud, platform</x:v>
      </x:c>
      <x:c r="H12" s="14" t="str">
        <x:v>L7 Senior / L8 Principal / L11</x:v>
      </x:c>
      <x:c r="I12" s="14" t="str">
        <x:v>Levels.fyi Austin SWE: L7 $169K, L8 $192K, up to L11 $453K</x:v>
      </x:c>
      <x:c r="J12" s="20" t="n">
        <x:v>169</x:v>
      </x:c>
      <x:c r="K12" s="20" t="n">
        <x:v>453</x:v>
      </x:c>
      <x:c r="L12" s="20" t="n">
        <x:f>IFERROR(ROUND(AVERAGE(J12:K12),0),"")</x:f>
        <x:v>311</x:v>
      </x:c>
      <x:c r="M12" s="14" t="str">
        <x:v>Levels.fyi company metro data</x:v>
      </x:c>
      <x:c r="N12" s="14" t="str">
        <x:v>https://opportunityaustin.com/economic-development/major-employers/</x:v>
      </x:c>
      <x:c r="O12" s="14" t="str">
        <x:v>https://www.levels.fyi/companies/dell-technologies/salaries/software-engineer/locations/greater-austin-area</x:v>
      </x:c>
      <x:c r="P12" s="14" t="str">
        <x:v>Large local employer; many roles are hybrid/enterprise-focused.</x:v>
      </x:c>
    </x:row>
    <x:row r="13" ht="54" customHeight="1">
      <x:c r="A13" s="16" t="n">
        <x:v>12</x:v>
      </x:c>
      <x:c r="B13" s="14" t="str">
        <x:v>Austin</x:v>
      </x:c>
      <x:c r="C13" s="14" t="str">
        <x:v>Austin</x:v>
      </x:c>
      <x:c r="D13" s="14" t="str">
        <x:v>IBM</x:v>
      </x:c>
      <x:c r="E13" s="14" t="str">
        <x:v>Large Austin hardware/software/chip R&amp;D presence</x:v>
      </x:c>
      <x:c r="F13" s="14" t="str">
        <x:v>Hybrid cloud, AI, software, chip R&amp;D</x:v>
      </x:c>
      <x:c r="G13" s="14" t="str">
        <x:v>Backend, cloud, AI, security, systems, research</x:v>
      </x:c>
      <x:c r="H13" s="14" t="str">
        <x:v>Advisory / STSM / Distinguished path</x:v>
      </x:c>
      <x:c r="I13" s="14" t="str">
        <x:v>Levels.fyi Austin SWE: Advisory ~$181K; STSM ~$400K; Distinguished up to ~$511K</x:v>
      </x:c>
      <x:c r="J13" s="20" t="n">
        <x:v>181</x:v>
      </x:c>
      <x:c r="K13" s="20" t="n">
        <x:v>511</x:v>
      </x:c>
      <x:c r="L13" s="20" t="n">
        <x:f>IFERROR(ROUND(AVERAGE(J13:K13),0),"")</x:f>
        <x:v>346</x:v>
      </x:c>
      <x:c r="M13" s="14" t="str">
        <x:v>Levels.fyi company metro data</x:v>
      </x:c>
      <x:c r="N13" s="14" t="str">
        <x:v>https://opportunityaustin.com/economic-development/major-employers/</x:v>
      </x:c>
      <x:c r="O13" s="14" t="str">
        <x:v>https://www.levels.fyi/companies/ibm/salaries/software-engineer/locations/greater-austin-area</x:v>
      </x:c>
      <x:c r="P13" s="14" t="str">
        <x:v>Good for senior enterprise/cloud/AI systems roles.</x:v>
      </x:c>
    </x:row>
    <x:row r="14" ht="54" customHeight="1">
      <x:c r="A14" s="16" t="n">
        <x:v>13</x:v>
      </x:c>
      <x:c r="B14" s="14" t="str">
        <x:v>Austin</x:v>
      </x:c>
      <x:c r="C14" s="14" t="str">
        <x:v>Austin</x:v>
      </x:c>
      <x:c r="D14" s="14" t="str">
        <x:v>AMD</x:v>
      </x:c>
      <x:c r="E14" s="14" t="str">
        <x:v>Major Austin semiconductor/software engineering presence</x:v>
      </x:c>
      <x:c r="F14" s="14" t="str">
        <x:v>Semiconductors, GPU/CPU, embedded/HPC software</x:v>
      </x:c>
      <x:c r="G14" s="14" t="str">
        <x:v>Systems, compiler, firmware, embedded, performance engineering</x:v>
      </x:c>
      <x:c r="H14" s="14" t="str">
        <x:v>L6 Senior / L7 Staff / L8 Principal</x:v>
      </x:c>
      <x:c r="I14" s="14" t="str">
        <x:v>Levels.fyi Austin SWE: L6 $179K, L7 $232K, L8 $313K</x:v>
      </x:c>
      <x:c r="J14" s="20" t="n">
        <x:v>179</x:v>
      </x:c>
      <x:c r="K14" s="20" t="n">
        <x:v>313</x:v>
      </x:c>
      <x:c r="L14" s="20" t="n">
        <x:f>IFERROR(ROUND(AVERAGE(J14:K14),0),"")</x:f>
        <x:v>246</x:v>
      </x:c>
      <x:c r="M14" s="14" t="str">
        <x:v>Levels.fyi company metro senior+ data</x:v>
      </x:c>
      <x:c r="N14" s="14" t="str">
        <x:v>https://opportunityaustin.com/economic-development/major-employers/</x:v>
      </x:c>
      <x:c r="O14" s="14" t="str">
        <x:v>https://www.levels.fyi/companies/amd/salaries/software-engineer/locations/greater-austin-area</x:v>
      </x:c>
      <x:c r="P14" s="14" t="str">
        <x:v>Best for systems/firmware/HPC/background.</x:v>
      </x:c>
    </x:row>
    <x:row r="15" ht="54" customHeight="1">
      <x:c r="A15" s="16" t="n">
        <x:v>14</x:v>
      </x:c>
      <x:c r="B15" s="14" t="str">
        <x:v>Austin</x:v>
      </x:c>
      <x:c r="C15" s="14" t="str">
        <x:v>Austin</x:v>
      </x:c>
      <x:c r="D15" s="14" t="str">
        <x:v>Qualcomm</x:v>
      </x:c>
      <x:c r="E15" s="14" t="str">
        <x:v>Austin engineering presence</x:v>
      </x:c>
      <x:c r="F15" s="14" t="str">
        <x:v>Wireless, mobile/edge AI, embedded systems</x:v>
      </x:c>
      <x:c r="G15" s="14" t="str">
        <x:v>Embedded, modem, drivers, systems, ML-on-device</x:v>
      </x:c>
      <x:c r="H15" s="14" t="str">
        <x:v>Senior / Staff / Senior Staff</x:v>
      </x:c>
      <x:c r="I15" s="14" t="str">
        <x:v>Levels.fyi Austin SWE: Senior Engineer $185K; Senior Staff up to $353K</x:v>
      </x:c>
      <x:c r="J15" s="20" t="n">
        <x:v>185</x:v>
      </x:c>
      <x:c r="K15" s="20" t="n">
        <x:v>353</x:v>
      </x:c>
      <x:c r="L15" s="20" t="n">
        <x:f>IFERROR(ROUND(AVERAGE(J15:K15),0),"")</x:f>
        <x:v>269</x:v>
      </x:c>
      <x:c r="M15" s="14" t="str">
        <x:v>Levels.fyi company metro senior+ data</x:v>
      </x:c>
      <x:c r="N15" s="14" t="str">
        <x:v>https://www.builtinaustin.com/companies/type/software-companies</x:v>
      </x:c>
      <x:c r="O15" s="14" t="str">
        <x:v>https://www.levels.fyi/companies/qualcomm/salaries/software-engineer/locations/greater-austin-area</x:v>
      </x:c>
      <x:c r="P15" s="14" t="str">
        <x:v>Good for embedded and low-level systems.</x:v>
      </x:c>
    </x:row>
    <x:row r="16" ht="54" customHeight="1">
      <x:c r="A16" s="16" t="n">
        <x:v>15</x:v>
      </x:c>
      <x:c r="B16" s="14" t="str">
        <x:v>Austin</x:v>
      </x:c>
      <x:c r="C16" s="14" t="str">
        <x:v>Austin / Taylor</x:v>
      </x:c>
      <x:c r="D16" s="14" t="str">
        <x:v>Samsung Austin Semiconductor</x:v>
      </x:c>
      <x:c r="E16" s="14" t="str">
        <x:v>Major Austin/Taylor semiconductor manufacturing and R&amp;D employer</x:v>
      </x:c>
      <x:c r="F16" s="14" t="str">
        <x:v>Semiconductor manufacturing, automation, process/data systems</x:v>
      </x:c>
      <x:c r="G16" s="14" t="str">
        <x:v>Manufacturing software, data, automation, embedded, infra</x:v>
      </x:c>
      <x:c r="H16" s="14" t="str">
        <x:v>Senior / Staff SWE-equivalent</x:v>
      </x:c>
      <x:c r="I16" s="14" t="str">
        <x:v>Austin senior SWE benchmark: $175K–$282K p25–p75; median $223K; p90 $356K</x:v>
      </x:c>
      <x:c r="J16" s="20" t="n">
        <x:v>175</x:v>
      </x:c>
      <x:c r="K16" s="20" t="n">
        <x:v>282</x:v>
      </x:c>
      <x:c r="L16" s="20" t="n">
        <x:f>IFERROR(ROUND(AVERAGE(J16:K16),0),"")</x:f>
        <x:v>229</x:v>
      </x:c>
      <x:c r="M16" s="14" t="str">
        <x:v>Levels.fyi metro senior SWE benchmark; company-specific Austin senior+ data not confirmed</x:v>
      </x:c>
      <x:c r="N16" s="14" t="str">
        <x:v>https://opportunityaustin.com/economic-development/major-employers/</x:v>
      </x:c>
      <x:c r="O16" s="14" t="str">
        <x:v>https://www.levels.fyi/t/software-engineer/levels/senior/locations/greater-austin-area</x:v>
      </x:c>
      <x:c r="P16" s="14" t="str">
        <x:v>Benchmark used because public senior SWE company-specific Levels.fyi Austin data was not confirmed.</x:v>
      </x:c>
    </x:row>
    <x:row r="17" ht="54" customHeight="1">
      <x:c r="A17" s="16" t="n">
        <x:v>16</x:v>
      </x:c>
      <x:c r="B17" s="14" t="str">
        <x:v>Austin</x:v>
      </x:c>
      <x:c r="C17" s="14" t="str">
        <x:v>Austin</x:v>
      </x:c>
      <x:c r="D17" s="14" t="str">
        <x:v>Arm</x:v>
      </x:c>
      <x:c r="E17" s="14" t="str">
        <x:v>Austin semiconductor/IP engineering presence</x:v>
      </x:c>
      <x:c r="F17" s="14" t="str">
        <x:v>Semiconductor IP, CPU/GPU architecture, embedded software</x:v>
      </x:c>
      <x:c r="G17" s="14" t="str">
        <x:v>Embedded, compiler, systems, performance, firmware</x:v>
      </x:c>
      <x:c r="H17" s="14" t="str">
        <x:v>Senior / Staff</x:v>
      </x:c>
      <x:c r="I17" s="14" t="str">
        <x:v>Austin senior SWE benchmark: $175K–$282K p25–p75; median $223K; p90 $356K</x:v>
      </x:c>
      <x:c r="J17" s="20" t="n">
        <x:v>175</x:v>
      </x:c>
      <x:c r="K17" s="20" t="n">
        <x:v>282</x:v>
      </x:c>
      <x:c r="L17" s="20" t="n">
        <x:f>IFERROR(ROUND(AVERAGE(J17:K17),0),"")</x:f>
        <x:v>229</x:v>
      </x:c>
      <x:c r="M17" s="14" t="str">
        <x:v>Levels.fyi metro senior SWE benchmark; company-specific Austin senior+ data not confirmed</x:v>
      </x:c>
      <x:c r="N17" s="14" t="str">
        <x:v>https://www.builtinaustin.com/companies/type/software-companies</x:v>
      </x:c>
      <x:c r="O17" s="14" t="str">
        <x:v>https://www.levels.fyi/t/software-engineer/levels/senior/locations/greater-austin-area</x:v>
      </x:c>
      <x:c r="P17" s="14" t="str">
        <x:v>Benchmark used; strong target for systems/embedded engineers.</x:v>
      </x:c>
    </x:row>
    <x:row r="18" ht="54" customHeight="1">
      <x:c r="A18" s="16" t="n">
        <x:v>17</x:v>
      </x:c>
      <x:c r="B18" s="14" t="str">
        <x:v>Austin</x:v>
      </x:c>
      <x:c r="C18" s="14" t="str">
        <x:v>Austin</x:v>
      </x:c>
      <x:c r="D18" s="14" t="str">
        <x:v>Salesforce</x:v>
      </x:c>
      <x:c r="E18" s="14" t="str">
        <x:v>Austin cloud/SaaS presence</x:v>
      </x:c>
      <x:c r="F18" s="14" t="str">
        <x:v>CRM, cloud platforms, AI, enterprise SaaS</x:v>
      </x:c>
      <x:c r="G18" s="14" t="str">
        <x:v>Backend, data, platform, security, frontend</x:v>
      </x:c>
      <x:c r="H18" s="14" t="str">
        <x:v>Senior MTS / Architect</x:v>
      </x:c>
      <x:c r="I18" s="14" t="str">
        <x:v>Levels.fyi Austin SWE: Senior MTS $221K; Architect $350K</x:v>
      </x:c>
      <x:c r="J18" s="20" t="n">
        <x:v>221</x:v>
      </x:c>
      <x:c r="K18" s="20" t="n">
        <x:v>350</x:v>
      </x:c>
      <x:c r="L18" s="20" t="n">
        <x:f>IFERROR(ROUND(AVERAGE(J18:K18),0),"")</x:f>
        <x:v>286</x:v>
      </x:c>
      <x:c r="M18" s="14" t="str">
        <x:v>Levels.fyi company metro senior+ data</x:v>
      </x:c>
      <x:c r="N18" s="14" t="str">
        <x:v>https://www.builtinaustin.com/companies/type/software-companies</x:v>
      </x:c>
      <x:c r="O18" s="14" t="str">
        <x:v>https://www.levels.fyi/companies/salesforce/salaries/software-engineer/locations/greater-austin-area</x:v>
      </x:c>
      <x:c r="P18" s="14" t="str">
        <x:v>Premium enterprise SaaS target.</x:v>
      </x:c>
    </x:row>
    <x:row r="19" ht="54" customHeight="1">
      <x:c r="A19" s="16" t="n">
        <x:v>18</x:v>
      </x:c>
      <x:c r="B19" s="14" t="str">
        <x:v>Austin</x:v>
      </x:c>
      <x:c r="C19" s="14" t="str">
        <x:v>Austin</x:v>
      </x:c>
      <x:c r="D19" s="14" t="str">
        <x:v>PayPal</x:v>
      </x:c>
      <x:c r="E19" s="14" t="str">
        <x:v>Austin payments/fintech engineering presence</x:v>
      </x:c>
      <x:c r="F19" s="14" t="str">
        <x:v>Payments, risk, fintech platforms</x:v>
      </x:c>
      <x:c r="G19" s="14" t="str">
        <x:v>Backend, risk, data, security, mobile</x:v>
      </x:c>
      <x:c r="H19" s="14" t="str">
        <x:v>CL5–CL8</x:v>
      </x:c>
      <x:c r="I19" s="14" t="str">
        <x:v>Levels.fyi Austin SWE: CL5 $160K, CL8 $393K</x:v>
      </x:c>
      <x:c r="J19" s="20" t="n">
        <x:v>160</x:v>
      </x:c>
      <x:c r="K19" s="20" t="n">
        <x:v>393</x:v>
      </x:c>
      <x:c r="L19" s="20" t="n">
        <x:f>IFERROR(ROUND(AVERAGE(J19:K19),0),"")</x:f>
        <x:v>277</x:v>
      </x:c>
      <x:c r="M19" s="14" t="str">
        <x:v>Levels.fyi company metro data</x:v>
      </x:c>
      <x:c r="N19" s="14" t="str">
        <x:v>https://www.builtinaustin.com/companies/type/software-companies</x:v>
      </x:c>
      <x:c r="O19" s="14" t="str">
        <x:v>https://www.levels.fyi/companies/paypal/salaries/software-engineer/locations/greater-austin-area</x:v>
      </x:c>
      <x:c r="P19" s="14" t="str">
        <x:v>Good for payments/risk/data platform experience.</x:v>
      </x:c>
    </x:row>
    <x:row r="20" ht="54" customHeight="1">
      <x:c r="A20" s="16" t="n">
        <x:v>19</x:v>
      </x:c>
      <x:c r="B20" s="14" t="str">
        <x:v>Austin</x:v>
      </x:c>
      <x:c r="C20" s="14" t="str">
        <x:v>Austin</x:v>
      </x:c>
      <x:c r="D20" s="14" t="str">
        <x:v>Visa</x:v>
      </x:c>
      <x:c r="E20" s="14" t="str">
        <x:v>Austin payments technology presence</x:v>
      </x:c>
      <x:c r="F20" s="14" t="str">
        <x:v>Payments, fraud/risk, data platforms</x:v>
      </x:c>
      <x:c r="G20" s="14" t="str">
        <x:v>Backend, data, security, distributed systems</x:v>
      </x:c>
      <x:c r="H20" s="14" t="str">
        <x:v>L5 Senior / L6 Staff</x:v>
      </x:c>
      <x:c r="I20" s="14" t="str">
        <x:v>Levels.fyi Austin SWE: L5 $159K, L6 $223K</x:v>
      </x:c>
      <x:c r="J20" s="20" t="n">
        <x:v>159</x:v>
      </x:c>
      <x:c r="K20" s="20" t="n">
        <x:v>223</x:v>
      </x:c>
      <x:c r="L20" s="20" t="n">
        <x:f>IFERROR(ROUND(AVERAGE(J20:K20),0),"")</x:f>
        <x:v>191</x:v>
      </x:c>
      <x:c r="M20" s="14" t="str">
        <x:v>Levels.fyi company metro senior+ data</x:v>
      </x:c>
      <x:c r="N20" s="14" t="str">
        <x:v>https://www.builtinaustin.com/companies/type/software-companies</x:v>
      </x:c>
      <x:c r="O20" s="14" t="str">
        <x:v>https://www.levels.fyi/companies/visa/salaries/software-engineer/locations/greater-austin-area</x:v>
      </x:c>
      <x:c r="P20" s="14" t="str">
        <x:v>Payments/fintech target.</x:v>
      </x:c>
    </x:row>
    <x:row r="21" ht="54" customHeight="1">
      <x:c r="A21" s="16" t="n">
        <x:v>20</x:v>
      </x:c>
      <x:c r="B21" s="14" t="str">
        <x:v>Austin</x:v>
      </x:c>
      <x:c r="C21" s="14" t="str">
        <x:v>Austin</x:v>
      </x:c>
      <x:c r="D21" s="14" t="str">
        <x:v>Applied Materials</x:v>
      </x:c>
      <x:c r="E21" s="14" t="str">
        <x:v>Austin semiconductor equipment/software presence</x:v>
      </x:c>
      <x:c r="F21" s="14" t="str">
        <x:v>Semiconductor equipment, automation, controls software</x:v>
      </x:c>
      <x:c r="G21" s="14" t="str">
        <x:v>Automation, embedded, data systems, controls, platform</x:v>
      </x:c>
      <x:c r="H21" s="14" t="str">
        <x:v>Senior / Staff SWE-equivalent</x:v>
      </x:c>
      <x:c r="I21" s="14" t="str">
        <x:v>Austin senior SWE benchmark: $175K–$282K p25–p75; median $223K; p90 $356K</x:v>
      </x:c>
      <x:c r="J21" s="20" t="n">
        <x:v>175</x:v>
      </x:c>
      <x:c r="K21" s="20" t="n">
        <x:v>282</x:v>
      </x:c>
      <x:c r="L21" s="20" t="n">
        <x:f>IFERROR(ROUND(AVERAGE(J21:K21),0),"")</x:f>
        <x:v>229</x:v>
      </x:c>
      <x:c r="M21" s="14" t="str">
        <x:v>Levels.fyi metro senior SWE benchmark; company-specific Austin senior+ data not confirmed</x:v>
      </x:c>
      <x:c r="N21" s="14" t="str">
        <x:v>https://opportunityaustin.com/economic-development/major-employers/</x:v>
      </x:c>
      <x:c r="O21" s="14" t="str">
        <x:v>https://www.levels.fyi/t/software-engineer/levels/senior/locations/greater-austin-area</x:v>
      </x:c>
      <x:c r="P21" s="14" t="str">
        <x:v>Benchmark used; target if you have hardware-adjacent software background.</x:v>
      </x:c>
    </x:row>
    <x:row r="22" ht="54" customHeight="1">
      <x:c r="A22" s="16" t="n">
        <x:v>21</x:v>
      </x:c>
      <x:c r="B22" s="14" t="str">
        <x:v>Austin</x:v>
      </x:c>
      <x:c r="C22" s="14" t="str">
        <x:v>Austin</x:v>
      </x:c>
      <x:c r="D22" s="14" t="str">
        <x:v>National Instruments (NI / Emerson)</x:v>
      </x:c>
      <x:c r="E22" s="14" t="str">
        <x:v>Austin HQ/engineering roots; part of Emerson</x:v>
      </x:c>
      <x:c r="F22" s="14" t="str">
        <x:v>Test and measurement software, industrial automation</x:v>
      </x:c>
      <x:c r="G22" s="14" t="str">
        <x:v>C++, LabVIEW/ecosystem, embedded, platform, data acquisition</x:v>
      </x:c>
      <x:c r="H22" s="14" t="str">
        <x:v>Senior / Staff</x:v>
      </x:c>
      <x:c r="I22" s="14" t="str">
        <x:v>Austin senior SWE benchmark: $175K–$282K p25–p75; median $223K; p90 $356K</x:v>
      </x:c>
      <x:c r="J22" s="20" t="n">
        <x:v>175</x:v>
      </x:c>
      <x:c r="K22" s="20" t="n">
        <x:v>282</x:v>
      </x:c>
      <x:c r="L22" s="20" t="n">
        <x:f>IFERROR(ROUND(AVERAGE(J22:K22),0),"")</x:f>
        <x:v>229</x:v>
      </x:c>
      <x:c r="M22" s="14" t="str">
        <x:v>Levels.fyi metro senior SWE benchmark; company-specific Austin senior+ data not confirmed</x:v>
      </x:c>
      <x:c r="N22" s="14" t="str">
        <x:v>https://opportunityaustin.com/economic-development/major-employers/</x:v>
      </x:c>
      <x:c r="O22" s="14" t="str">
        <x:v>https://www.levels.fyi/t/software-engineer/levels/senior/locations/greater-austin-area</x:v>
      </x:c>
      <x:c r="P22" s="14" t="str">
        <x:v>Benchmark used; hardware/software intersection.</x:v>
      </x:c>
    </x:row>
    <x:row r="23" ht="54" customHeight="1">
      <x:c r="A23" s="16" t="n">
        <x:v>22</x:v>
      </x:c>
      <x:c r="B23" s="14" t="str">
        <x:v>Austin</x:v>
      </x:c>
      <x:c r="C23" s="14" t="str">
        <x:v>Austin</x:v>
      </x:c>
      <x:c r="D23" s="14" t="str">
        <x:v>Silicon Labs</x:v>
      </x:c>
      <x:c r="E23" s="14" t="str">
        <x:v>Austin-headquartered semiconductor/IoT company</x:v>
      </x:c>
      <x:c r="F23" s="14" t="str">
        <x:v>IoT, wireless chips, embedded software</x:v>
      </x:c>
      <x:c r="G23" s="14" t="str">
        <x:v>Embedded, firmware, security, cloud tools</x:v>
      </x:c>
      <x:c r="H23" s="14" t="str">
        <x:v>Senior / Staff</x:v>
      </x:c>
      <x:c r="I23" s="14" t="str">
        <x:v>Austin senior SWE benchmark: $175K–$282K p25–p75; median $223K; p90 $356K</x:v>
      </x:c>
      <x:c r="J23" s="20" t="n">
        <x:v>175</x:v>
      </x:c>
      <x:c r="K23" s="20" t="n">
        <x:v>282</x:v>
      </x:c>
      <x:c r="L23" s="20" t="n">
        <x:f>IFERROR(ROUND(AVERAGE(J23:K23),0),"")</x:f>
        <x:v>229</x:v>
      </x:c>
      <x:c r="M23" s="14" t="str">
        <x:v>Levels.fyi metro senior SWE benchmark; company-specific Austin senior+ data not confirmed</x:v>
      </x:c>
      <x:c r="N23" s="14" t="str">
        <x:v>https://opportunityaustin.com/economic-development/major-employers/</x:v>
      </x:c>
      <x:c r="O23" s="14" t="str">
        <x:v>https://www.levels.fyi/t/software-engineer/levels/senior/locations/greater-austin-area</x:v>
      </x:c>
      <x:c r="P23" s="14" t="str">
        <x:v>Benchmark used; strong embedded/IoT target.</x:v>
      </x:c>
    </x:row>
    <x:row r="24" ht="54" customHeight="1">
      <x:c r="A24" s="16" t="n">
        <x:v>23</x:v>
      </x:c>
      <x:c r="B24" s="14" t="str">
        <x:v>Austin</x:v>
      </x:c>
      <x:c r="C24" s="14" t="str">
        <x:v>Austin</x:v>
      </x:c>
      <x:c r="D24" s="14" t="str">
        <x:v>Cirrus Logic</x:v>
      </x:c>
      <x:c r="E24" s="14" t="str">
        <x:v>Austin HQ/engineering presence</x:v>
      </x:c>
      <x:c r="F24" s="14" t="str">
        <x:v>Audio/mixed-signal semiconductors, embedded software</x:v>
      </x:c>
      <x:c r="G24" s="14" t="str">
        <x:v>Embedded, firmware, DSP, tools, platform</x:v>
      </x:c>
      <x:c r="H24" s="14" t="str">
        <x:v>Senior / Staff</x:v>
      </x:c>
      <x:c r="I24" s="14" t="str">
        <x:v>Austin senior SWE benchmark: $175K–$282K p25–p75; median $223K; p90 $356K</x:v>
      </x:c>
      <x:c r="J24" s="20" t="n">
        <x:v>175</x:v>
      </x:c>
      <x:c r="K24" s="20" t="n">
        <x:v>282</x:v>
      </x:c>
      <x:c r="L24" s="20" t="n">
        <x:f>IFERROR(ROUND(AVERAGE(J24:K24),0),"")</x:f>
        <x:v>229</x:v>
      </x:c>
      <x:c r="M24" s="14" t="str">
        <x:v>Levels.fyi metro senior SWE benchmark; company-specific Austin senior+ data not confirmed</x:v>
      </x:c>
      <x:c r="N24" s="14" t="str">
        <x:v>https://opportunityaustin.com/economic-development/major-employers/</x:v>
      </x:c>
      <x:c r="O24" s="14" t="str">
        <x:v>https://www.levels.fyi/t/software-engineer/levels/senior/locations/greater-austin-area</x:v>
      </x:c>
      <x:c r="P24" s="14" t="str">
        <x:v>Benchmark used; good for C/C++/DSP/embedded profiles.</x:v>
      </x:c>
    </x:row>
    <x:row r="25" ht="54" customHeight="1">
      <x:c r="A25" s="16" t="n">
        <x:v>24</x:v>
      </x:c>
      <x:c r="B25" s="14" t="str">
        <x:v>Austin</x:v>
      </x:c>
      <x:c r="C25" s="14" t="str">
        <x:v>Austin</x:v>
      </x:c>
      <x:c r="D25" s="14" t="str">
        <x:v>NXP Semiconductors</x:v>
      </x:c>
      <x:c r="E25" s="14" t="str">
        <x:v>Austin semiconductor engineering presence</x:v>
      </x:c>
      <x:c r="F25" s="14" t="str">
        <x:v>Auto/edge chips, embedded platforms</x:v>
      </x:c>
      <x:c r="G25" s="14" t="str">
        <x:v>Embedded, firmware, security, tools, systems</x:v>
      </x:c>
      <x:c r="H25" s="14" t="str">
        <x:v>Senior / Staff</x:v>
      </x:c>
      <x:c r="I25" s="14" t="str">
        <x:v>Austin senior SWE benchmark: $175K–$282K p25–p75; median $223K; p90 $356K</x:v>
      </x:c>
      <x:c r="J25" s="20" t="n">
        <x:v>175</x:v>
      </x:c>
      <x:c r="K25" s="20" t="n">
        <x:v>282</x:v>
      </x:c>
      <x:c r="L25" s="20" t="n">
        <x:f>IFERROR(ROUND(AVERAGE(J25:K25),0),"")</x:f>
        <x:v>229</x:v>
      </x:c>
      <x:c r="M25" s="14" t="str">
        <x:v>Levels.fyi metro senior SWE benchmark; company-specific Austin senior+ data not confirmed</x:v>
      </x:c>
      <x:c r="N25" s="14" t="str">
        <x:v>https://www.builtinaustin.com/companies/type/software-companies</x:v>
      </x:c>
      <x:c r="O25" s="14" t="str">
        <x:v>https://www.levels.fyi/t/software-engineer/levels/senior/locations/greater-austin-area</x:v>
      </x:c>
      <x:c r="P25" s="14" t="str">
        <x:v>Benchmark used; hardware-adjacent senior SWE roles.</x:v>
      </x:c>
    </x:row>
    <x:row r="26" ht="54" customHeight="1">
      <x:c r="A26" s="16" t="n">
        <x:v>25</x:v>
      </x:c>
      <x:c r="B26" s="14" t="str">
        <x:v>Austin</x:v>
      </x:c>
      <x:c r="C26" s="14" t="str">
        <x:v>Austin</x:v>
      </x:c>
      <x:c r="D26" s="14" t="str">
        <x:v>Cloudflare</x:v>
      </x:c>
      <x:c r="E26" s="14" t="str">
        <x:v>Listed among top Austin software companies</x:v>
      </x:c>
      <x:c r="F26" s="14" t="str">
        <x:v>Network, security, edge/cloud platform</x:v>
      </x:c>
      <x:c r="G26" s="14" t="str">
        <x:v>Backend, distributed systems, networking, security, SRE</x:v>
      </x:c>
      <x:c r="H26" s="14" t="str">
        <x:v>L3–L5</x:v>
      </x:c>
      <x:c r="I26" s="14" t="str">
        <x:v>Levels.fyi Austin SWE: L3 $198K, L4 $248K, L5 $294K</x:v>
      </x:c>
      <x:c r="J26" s="20" t="n">
        <x:v>198</x:v>
      </x:c>
      <x:c r="K26" s="20" t="n">
        <x:v>294</x:v>
      </x:c>
      <x:c r="L26" s="20" t="n">
        <x:f>IFERROR(ROUND(AVERAGE(J26:K26),0),"")</x:f>
        <x:v>246</x:v>
      </x:c>
      <x:c r="M26" s="14" t="str">
        <x:v>Levels.fyi company metro data</x:v>
      </x:c>
      <x:c r="N26" s="14" t="str">
        <x:v>https://www.builtinaustin.com/articles/software-companies-in-austin-to-know</x:v>
      </x:c>
      <x:c r="O26" s="14" t="str">
        <x:v>https://www.levels.fyi/companies/cloudflare/salaries/software-engineer/locations/greater-austin-area</x:v>
      </x:c>
      <x:c r="P26" s="14" t="str">
        <x:v>Great fit for networking/security/platform.</x:v>
      </x:c>
    </x:row>
    <x:row r="27" ht="54" customHeight="1">
      <x:c r="A27" s="16" t="n">
        <x:v>26</x:v>
      </x:c>
      <x:c r="B27" s="14" t="str">
        <x:v>Austin</x:v>
      </x:c>
      <x:c r="C27" s="14" t="str">
        <x:v>Austin</x:v>
      </x:c>
      <x:c r="D27" s="14" t="str">
        <x:v>MongoDB</x:v>
      </x:c>
      <x:c r="E27" s="14" t="str">
        <x:v>Listed in Built In Austin software directory</x:v>
      </x:c>
      <x:c r="F27" s="14" t="str">
        <x:v>Cloud database, developer data platform</x:v>
      </x:c>
      <x:c r="G27" s="14" t="str">
        <x:v>Backend, distributed systems, cloud, SRE, data</x:v>
      </x:c>
      <x:c r="H27" s="14" t="str">
        <x:v>Senior / Staff</x:v>
      </x:c>
      <x:c r="I27" s="14" t="str">
        <x:v>Austin senior SWE benchmark: $175K–$282K p25–p75; median $223K; p90 $356K</x:v>
      </x:c>
      <x:c r="J27" s="20" t="n">
        <x:v>175</x:v>
      </x:c>
      <x:c r="K27" s="20" t="n">
        <x:v>282</x:v>
      </x:c>
      <x:c r="L27" s="20" t="n">
        <x:f>IFERROR(ROUND(AVERAGE(J27:K27),0),"")</x:f>
        <x:v>229</x:v>
      </x:c>
      <x:c r="M27" s="14" t="str">
        <x:v>Levels.fyi metro senior SWE benchmark; company-specific Austin senior+ data not confirmed</x:v>
      </x:c>
      <x:c r="N27" s="14" t="str">
        <x:v>https://www.builtinaustin.com/companies/type/software-companies</x:v>
      </x:c>
      <x:c r="O27" s="14" t="str">
        <x:v>https://www.levels.fyi/t/software-engineer/levels/senior/locations/greater-austin-area</x:v>
      </x:c>
      <x:c r="P27" s="14" t="str">
        <x:v>Benchmark used; direct company-metro senior data not confirmed.</x:v>
      </x:c>
    </x:row>
    <x:row r="28" ht="54" customHeight="1">
      <x:c r="A28" s="16" t="n">
        <x:v>27</x:v>
      </x:c>
      <x:c r="B28" s="14" t="str">
        <x:v>Austin</x:v>
      </x:c>
      <x:c r="C28" s="14" t="str">
        <x:v>Austin</x:v>
      </x:c>
      <x:c r="D28" s="14" t="str">
        <x:v>Vercel</x:v>
      </x:c>
      <x:c r="E28" s="14" t="str">
        <x:v>Listed in Built In Austin software directory</x:v>
      </x:c>
      <x:c r="F28" s="14" t="str">
        <x:v>Web platform, frontend cloud, developer tools</x:v>
      </x:c>
      <x:c r="G28" s="14" t="str">
        <x:v>Frontend, infra, backend, developer experience</x:v>
      </x:c>
      <x:c r="H28" s="14" t="str">
        <x:v>Senior / Staff</x:v>
      </x:c>
      <x:c r="I28" s="14" t="str">
        <x:v>Austin senior SWE benchmark: $175K–$282K p25–p75; median $223K; p90 $356K</x:v>
      </x:c>
      <x:c r="J28" s="20" t="n">
        <x:v>175</x:v>
      </x:c>
      <x:c r="K28" s="20" t="n">
        <x:v>282</x:v>
      </x:c>
      <x:c r="L28" s="20" t="n">
        <x:f>IFERROR(ROUND(AVERAGE(J28:K28),0),"")</x:f>
        <x:v>229</x:v>
      </x:c>
      <x:c r="M28" s="14" t="str">
        <x:v>Levels.fyi metro senior SWE benchmark; company-specific Austin senior+ data not confirmed</x:v>
      </x:c>
      <x:c r="N28" s="14" t="str">
        <x:v>https://www.builtinaustin.com/companies/type/software-companies</x:v>
      </x:c>
      <x:c r="O28" s="14" t="str">
        <x:v>https://www.levels.fyi/t/software-engineer/levels/senior/locations/greater-austin-area</x:v>
      </x:c>
      <x:c r="P28" s="14" t="str">
        <x:v>Benchmark used; high-signal for web-platform engineers.</x:v>
      </x:c>
    </x:row>
    <x:row r="29" ht="54" customHeight="1">
      <x:c r="A29" s="16" t="n">
        <x:v>28</x:v>
      </x:c>
      <x:c r="B29" s="14" t="str">
        <x:v>Austin</x:v>
      </x:c>
      <x:c r="C29" s="14" t="str">
        <x:v>Austin</x:v>
      </x:c>
      <x:c r="D29" s="14" t="str">
        <x:v>Cisco ThousandEyes</x:v>
      </x:c>
      <x:c r="E29" s="14" t="str">
        <x:v>Listed in Austin software/company sources</x:v>
      </x:c>
      <x:c r="F29" s="14" t="str">
        <x:v>Network observability, SaaS, Cisco software</x:v>
      </x:c>
      <x:c r="G29" s="14" t="str">
        <x:v>Backend, networking, observability, SRE, data</x:v>
      </x:c>
      <x:c r="H29" s="14" t="str">
        <x:v>Senior / Staff</x:v>
      </x:c>
      <x:c r="I29" s="14" t="str">
        <x:v>Austin senior SWE benchmark: $175K–$282K p25–p75; median $223K; p90 $356K</x:v>
      </x:c>
      <x:c r="J29" s="20" t="n">
        <x:v>175</x:v>
      </x:c>
      <x:c r="K29" s="20" t="n">
        <x:v>282</x:v>
      </x:c>
      <x:c r="L29" s="20" t="n">
        <x:f>IFERROR(ROUND(AVERAGE(J29:K29),0),"")</x:f>
        <x:v>229</x:v>
      </x:c>
      <x:c r="M29" s="14" t="str">
        <x:v>Levels.fyi metro senior SWE benchmark; company-specific Austin senior+ data not confirmed</x:v>
      </x:c>
      <x:c r="N29" s="14" t="str">
        <x:v>https://www.builtinaustin.com/articles/software-companies-in-austin-to-know</x:v>
      </x:c>
      <x:c r="O29" s="14" t="str">
        <x:v>https://www.levels.fyi/t/software-engineer/levels/senior/locations/greater-austin-area</x:v>
      </x:c>
      <x:c r="P29" s="14" t="str">
        <x:v>Benchmark used; Cisco acquisition/brand may appear under ThousandEyes or Cisco.</x:v>
      </x:c>
    </x:row>
    <x:row r="30" ht="54" customHeight="1">
      <x:c r="A30" s="16" t="n">
        <x:v>29</x:v>
      </x:c>
      <x:c r="B30" s="14" t="str">
        <x:v>Austin</x:v>
      </x:c>
      <x:c r="C30" s="14" t="str">
        <x:v>Austin</x:v>
      </x:c>
      <x:c r="D30" s="14" t="str">
        <x:v>SailPoint</x:v>
      </x:c>
      <x:c r="E30" s="14" t="str">
        <x:v>Listed among top Austin software companies</x:v>
      </x:c>
      <x:c r="F30" s="14" t="str">
        <x:v>Identity governance, cybersecurity SaaS</x:v>
      </x:c>
      <x:c r="G30" s="14" t="str">
        <x:v>Backend, security, data, cloud platform</x:v>
      </x:c>
      <x:c r="H30" s="14" t="str">
        <x:v>Senior / Staff</x:v>
      </x:c>
      <x:c r="I30" s="14" t="str">
        <x:v>Austin senior SWE benchmark: $175K–$282K p25–p75; median $223K; p90 $356K</x:v>
      </x:c>
      <x:c r="J30" s="20" t="n">
        <x:v>175</x:v>
      </x:c>
      <x:c r="K30" s="20" t="n">
        <x:v>282</x:v>
      </x:c>
      <x:c r="L30" s="20" t="n">
        <x:f>IFERROR(ROUND(AVERAGE(J30:K30),0),"")</x:f>
        <x:v>229</x:v>
      </x:c>
      <x:c r="M30" s="14" t="str">
        <x:v>Levels.fyi metro senior SWE benchmark; company-specific Austin senior+ data not confirmed</x:v>
      </x:c>
      <x:c r="N30" s="14" t="str">
        <x:v>https://www.builtinaustin.com/articles/software-companies-in-austin-to-know</x:v>
      </x:c>
      <x:c r="O30" s="14" t="str">
        <x:v>https://www.levels.fyi/t/software-engineer/levels/senior/locations/greater-austin-area</x:v>
      </x:c>
      <x:c r="P30" s="14" t="str">
        <x:v>Benchmark used; strong security/identity target.</x:v>
      </x:c>
    </x:row>
    <x:row r="31" ht="54" customHeight="1">
      <x:c r="A31" s="16" t="n">
        <x:v>30</x:v>
      </x:c>
      <x:c r="B31" s="14" t="str">
        <x:v>Austin</x:v>
      </x:c>
      <x:c r="C31" s="14" t="str">
        <x:v>Austin</x:v>
      </x:c>
      <x:c r="D31" s="14" t="str">
        <x:v>CrowdStrike</x:v>
      </x:c>
      <x:c r="E31" s="14" t="str">
        <x:v>Austin cybersecurity presence</x:v>
      </x:c>
      <x:c r="F31" s="14" t="str">
        <x:v>Endpoint/cloud security, threat intelligence, data platforms</x:v>
      </x:c>
      <x:c r="G31" s="14" t="str">
        <x:v>Backend, security, data, cloud, detection engineering</x:v>
      </x:c>
      <x:c r="H31" s="14" t="str">
        <x:v>Senior / Staff</x:v>
      </x:c>
      <x:c r="I31" s="14" t="str">
        <x:v>Austin senior SWE benchmark: $175K–$282K p25–p75; median $223K; p90 $356K</x:v>
      </x:c>
      <x:c r="J31" s="20" t="n">
        <x:v>175</x:v>
      </x:c>
      <x:c r="K31" s="20" t="n">
        <x:v>282</x:v>
      </x:c>
      <x:c r="L31" s="20" t="n">
        <x:f>IFERROR(ROUND(AVERAGE(J31:K31),0),"")</x:f>
        <x:v>229</x:v>
      </x:c>
      <x:c r="M31" s="14" t="str">
        <x:v>Levels.fyi metro senior SWE benchmark; company-specific Austin senior+ data not confirmed</x:v>
      </x:c>
      <x:c r="N31" s="14" t="str">
        <x:v>https://www.builtinaustin.com/companies/type/software-companies</x:v>
      </x:c>
      <x:c r="O31" s="14" t="str">
        <x:v>https://www.levels.fyi/t/software-engineer/levels/senior/locations/greater-austin-area</x:v>
      </x:c>
      <x:c r="P31" s="14" t="str">
        <x:v>Benchmark used; security-heavy SWE target.</x:v>
      </x:c>
    </x:row>
    <x:row r="32" ht="54" customHeight="1">
      <x:c r="A32" s="16" t="n">
        <x:v>31</x:v>
      </x:c>
      <x:c r="B32" s="14" t="str">
        <x:v>Austin</x:v>
      </x:c>
      <x:c r="C32" s="14" t="str">
        <x:v>Austin</x:v>
      </x:c>
      <x:c r="D32" s="14" t="str">
        <x:v>Rapid7</x:v>
      </x:c>
      <x:c r="E32" s="14" t="str">
        <x:v>Listed in Built In Austin software directory</x:v>
      </x:c>
      <x:c r="F32" s="14" t="str">
        <x:v>Security analytics, cloud security, vulnerability management</x:v>
      </x:c>
      <x:c r="G32" s="14" t="str">
        <x:v>Backend, cloud, data, security, frontend</x:v>
      </x:c>
      <x:c r="H32" s="14" t="str">
        <x:v>Senior / Staff</x:v>
      </x:c>
      <x:c r="I32" s="14" t="str">
        <x:v>Austin senior SWE benchmark: $175K–$282K p25–p75; median $223K; p90 $356K</x:v>
      </x:c>
      <x:c r="J32" s="20" t="n">
        <x:v>175</x:v>
      </x:c>
      <x:c r="K32" s="20" t="n">
        <x:v>282</x:v>
      </x:c>
      <x:c r="L32" s="20" t="n">
        <x:f>IFERROR(ROUND(AVERAGE(J32:K32),0),"")</x:f>
        <x:v>229</x:v>
      </x:c>
      <x:c r="M32" s="14" t="str">
        <x:v>Levels.fyi metro senior SWE benchmark; company-specific Austin senior+ data not confirmed</x:v>
      </x:c>
      <x:c r="N32" s="14" t="str">
        <x:v>https://www.builtinaustin.com/companies/type/software-companies</x:v>
      </x:c>
      <x:c r="O32" s="14" t="str">
        <x:v>https://www.levels.fyi/t/software-engineer/levels/senior/locations/greater-austin-area</x:v>
      </x:c>
      <x:c r="P32" s="14" t="str">
        <x:v>Benchmark used; security SaaS.</x:v>
      </x:c>
    </x:row>
    <x:row r="33" ht="54" customHeight="1">
      <x:c r="A33" s="16" t="n">
        <x:v>32</x:v>
      </x:c>
      <x:c r="B33" s="14" t="str">
        <x:v>Austin</x:v>
      </x:c>
      <x:c r="C33" s="14" t="str">
        <x:v>Austin</x:v>
      </x:c>
      <x:c r="D33" s="14" t="str">
        <x:v>Realtor.com</x:v>
      </x:c>
      <x:c r="E33" s="14" t="str">
        <x:v>Listed in Built In Austin software directory</x:v>
      </x:c>
      <x:c r="F33" s="14" t="str">
        <x:v>Real estate marketplace, consumer web, data platforms</x:v>
      </x:c>
      <x:c r="G33" s="14" t="str">
        <x:v>Backend, frontend, data, search/relevance, mobile</x:v>
      </x:c>
      <x:c r="H33" s="14" t="str">
        <x:v>Senior / Staff</x:v>
      </x:c>
      <x:c r="I33" s="14" t="str">
        <x:v>Austin senior SWE benchmark: $175K–$282K p25–p75; median $223K; p90 $356K</x:v>
      </x:c>
      <x:c r="J33" s="20" t="n">
        <x:v>175</x:v>
      </x:c>
      <x:c r="K33" s="20" t="n">
        <x:v>282</x:v>
      </x:c>
      <x:c r="L33" s="20" t="n">
        <x:f>IFERROR(ROUND(AVERAGE(J33:K33),0),"")</x:f>
        <x:v>229</x:v>
      </x:c>
      <x:c r="M33" s="14" t="str">
        <x:v>Levels.fyi metro senior SWE benchmark; company-specific Austin senior+ data not confirmed</x:v>
      </x:c>
      <x:c r="N33" s="14" t="str">
        <x:v>https://www.builtinaustin.com/companies/type/software-companies</x:v>
      </x:c>
      <x:c r="O33" s="14" t="str">
        <x:v>https://www.levels.fyi/t/software-engineer/levels/senior/locations/greater-austin-area</x:v>
      </x:c>
      <x:c r="P33" s="14" t="str">
        <x:v>Benchmark used; marketplace/search experience relevant.</x:v>
      </x:c>
    </x:row>
    <x:row r="34" ht="54" customHeight="1">
      <x:c r="A34" s="16" t="n">
        <x:v>33</x:v>
      </x:c>
      <x:c r="B34" s="14" t="str">
        <x:v>Austin</x:v>
      </x:c>
      <x:c r="C34" s="14" t="str">
        <x:v>Austin</x:v>
      </x:c>
      <x:c r="D34" s="14" t="str">
        <x:v>Indeed</x:v>
      </x:c>
      <x:c r="E34" s="14" t="str">
        <x:v>Austin HQ/major employer in HR tech</x:v>
      </x:c>
      <x:c r="F34" s="14" t="str">
        <x:v>Job search, HR tech, matching, data/ML</x:v>
      </x:c>
      <x:c r="G34" s="14" t="str">
        <x:v>Backend, search, ML, data, frontend</x:v>
      </x:c>
      <x:c r="H34" s="14" t="str">
        <x:v>Senior / Staff / L7 path</x:v>
      </x:c>
      <x:c r="I34" s="14" t="str">
        <x:v>Levels.fyi Austin SWE all-level range: $110K–$316K; median $287K</x:v>
      </x:c>
      <x:c r="J34" s="20" t="n">
        <x:v>223</x:v>
      </x:c>
      <x:c r="K34" s="20" t="n">
        <x:v>316</x:v>
      </x:c>
      <x:c r="L34" s="20" t="n">
        <x:f>IFERROR(ROUND(AVERAGE(J34:K34),0),"")</x:f>
        <x:v>270</x:v>
      </x:c>
      <x:c r="M34" s="14" t="str">
        <x:v>Levels.fyi company metro all-level data plus Austin senior benchmark floor</x:v>
      </x:c>
      <x:c r="N34" s="14" t="str">
        <x:v>https://opportunityaustin.com/economic-development/major-employers/</x:v>
      </x:c>
      <x:c r="O34" s="14" t="str">
        <x:v>https://www.levels.fyi/companies/indeed/salaries/software-engineer/locations/greater-austin-area</x:v>
      </x:c>
      <x:c r="P34" s="14" t="str">
        <x:v>Senior-specific level rows should be verified; all-level local median is strong.</x:v>
      </x:c>
    </x:row>
    <x:row r="35" ht="54" customHeight="1">
      <x:c r="A35" s="16" t="n">
        <x:v>34</x:v>
      </x:c>
      <x:c r="B35" s="14" t="str">
        <x:v>Austin</x:v>
      </x:c>
      <x:c r="C35" s="14" t="str">
        <x:v>Austin</x:v>
      </x:c>
      <x:c r="D35" s="14" t="str">
        <x:v>Braze</x:v>
      </x:c>
      <x:c r="E35" s="14" t="str">
        <x:v>Listed in Built In Austin software directory</x:v>
      </x:c>
      <x:c r="F35" s="14" t="str">
        <x:v>Customer engagement, marketing automation SaaS</x:v>
      </x:c>
      <x:c r="G35" s="14" t="str">
        <x:v>Backend, data, platform, frontend</x:v>
      </x:c>
      <x:c r="H35" s="14" t="str">
        <x:v>Senior / Staff</x:v>
      </x:c>
      <x:c r="I35" s="14" t="str">
        <x:v>Austin senior SWE benchmark: $175K–$282K p25–p75; median $223K; p90 $356K</x:v>
      </x:c>
      <x:c r="J35" s="20" t="n">
        <x:v>175</x:v>
      </x:c>
      <x:c r="K35" s="20" t="n">
        <x:v>282</x:v>
      </x:c>
      <x:c r="L35" s="20" t="n">
        <x:f>IFERROR(ROUND(AVERAGE(J35:K35),0),"")</x:f>
        <x:v>229</x:v>
      </x:c>
      <x:c r="M35" s="14" t="str">
        <x:v>Levels.fyi metro senior SWE benchmark; company-specific Austin senior+ data not confirmed</x:v>
      </x:c>
      <x:c r="N35" s="14" t="str">
        <x:v>https://www.builtinaustin.com/companies/type/software-companies</x:v>
      </x:c>
      <x:c r="O35" s="14" t="str">
        <x:v>https://www.levels.fyi/t/software-engineer/levels/senior/locations/greater-austin-area</x:v>
      </x:c>
      <x:c r="P35" s="14" t="str">
        <x:v>Benchmark used; B2B SaaS product engineering.</x:v>
      </x:c>
    </x:row>
    <x:row r="36" ht="54" customHeight="1">
      <x:c r="A36" s="16" t="n">
        <x:v>35</x:v>
      </x:c>
      <x:c r="B36" s="14" t="str">
        <x:v>Austin</x:v>
      </x:c>
      <x:c r="C36" s="14" t="str">
        <x:v>Austin</x:v>
      </x:c>
      <x:c r="D36" s="14" t="str">
        <x:v>Udemy</x:v>
      </x:c>
      <x:c r="E36" s="14" t="str">
        <x:v>Austin edtech/enterprise learning presence</x:v>
      </x:c>
      <x:c r="F36" s="14" t="str">
        <x:v>Edtech, marketplace, enterprise learning SaaS</x:v>
      </x:c>
      <x:c r="G36" s="14" t="str">
        <x:v>Backend, data, frontend, platform</x:v>
      </x:c>
      <x:c r="H36" s="14" t="str">
        <x:v>Senior / Staff</x:v>
      </x:c>
      <x:c r="I36" s="14" t="str">
        <x:v>Austin senior SWE benchmark: $175K–$282K p25–p75; median $223K; p90 $356K</x:v>
      </x:c>
      <x:c r="J36" s="20" t="n">
        <x:v>175</x:v>
      </x:c>
      <x:c r="K36" s="20" t="n">
        <x:v>282</x:v>
      </x:c>
      <x:c r="L36" s="20" t="n">
        <x:f>IFERROR(ROUND(AVERAGE(J36:K36),0),"")</x:f>
        <x:v>229</x:v>
      </x:c>
      <x:c r="M36" s="14" t="str">
        <x:v>Levels.fyi metro senior SWE benchmark; company-specific Austin senior+ data not confirmed</x:v>
      </x:c>
      <x:c r="N36" s="14" t="str">
        <x:v>https://www.builtinaustin.com/companies/type/software-companies</x:v>
      </x:c>
      <x:c r="O36" s="14" t="str">
        <x:v>https://www.levels.fyi/t/software-engineer/levels/senior/locations/greater-austin-area</x:v>
      </x:c>
      <x:c r="P36" s="14" t="str">
        <x:v>Benchmark used; remote/hybrid policy should be checked.</x:v>
      </x:c>
    </x:row>
    <x:row r="37" ht="54" customHeight="1">
      <x:c r="A37" s="16" t="n">
        <x:v>36</x:v>
      </x:c>
      <x:c r="B37" s="14" t="str">
        <x:v>Austin</x:v>
      </x:c>
      <x:c r="C37" s="14" t="str">
        <x:v>Austin</x:v>
      </x:c>
      <x:c r="D37" s="14" t="str">
        <x:v>Epicor</x:v>
      </x:c>
      <x:c r="E37" s="14" t="str">
        <x:v>Listed in Austin software-company sources</x:v>
      </x:c>
      <x:c r="F37" s="14" t="str">
        <x:v>ERP, industry cloud, enterprise software</x:v>
      </x:c>
      <x:c r="G37" s="14" t="str">
        <x:v>Backend, platform, data, integrations, frontend</x:v>
      </x:c>
      <x:c r="H37" s="14" t="str">
        <x:v>Senior / Staff</x:v>
      </x:c>
      <x:c r="I37" s="14" t="str">
        <x:v>Austin senior SWE benchmark: $175K–$282K p25–p75; median $223K; p90 $356K</x:v>
      </x:c>
      <x:c r="J37" s="20" t="n">
        <x:v>175</x:v>
      </x:c>
      <x:c r="K37" s="20" t="n">
        <x:v>282</x:v>
      </x:c>
      <x:c r="L37" s="20" t="n">
        <x:f>IFERROR(ROUND(AVERAGE(J37:K37),0),"")</x:f>
        <x:v>229</x:v>
      </x:c>
      <x:c r="M37" s="14" t="str">
        <x:v>Levels.fyi metro senior SWE benchmark; company-specific Austin senior+ data not confirmed</x:v>
      </x:c>
      <x:c r="N37" s="14" t="str">
        <x:v>https://www.builtinaustin.com/articles/software-companies-in-austin-to-know</x:v>
      </x:c>
      <x:c r="O37" s="14" t="str">
        <x:v>https://www.levels.fyi/t/software-engineer/levels/senior/locations/greater-austin-area</x:v>
      </x:c>
      <x:c r="P37" s="14" t="str">
        <x:v>Benchmark used; enterprise SaaS.</x:v>
      </x:c>
    </x:row>
    <x:row r="38" ht="54" customHeight="1">
      <x:c r="A38" s="16" t="n">
        <x:v>37</x:v>
      </x:c>
      <x:c r="B38" s="14" t="str">
        <x:v>Austin</x:v>
      </x:c>
      <x:c r="C38" s="14" t="str">
        <x:v>Austin</x:v>
      </x:c>
      <x:c r="D38" s="14" t="str">
        <x:v>Procore</x:v>
      </x:c>
      <x:c r="E38" s="14" t="str">
        <x:v>Listed in Austin software-company sources</x:v>
      </x:c>
      <x:c r="F38" s="14" t="str">
        <x:v>Construction management SaaS</x:v>
      </x:c>
      <x:c r="G38" s="14" t="str">
        <x:v>Backend, frontend, mobile, data, platform</x:v>
      </x:c>
      <x:c r="H38" s="14" t="str">
        <x:v>Senior / Staff</x:v>
      </x:c>
      <x:c r="I38" s="14" t="str">
        <x:v>Austin senior SWE benchmark: $175K–$282K p25–p75; median $223K; p90 $356K</x:v>
      </x:c>
      <x:c r="J38" s="20" t="n">
        <x:v>175</x:v>
      </x:c>
      <x:c r="K38" s="20" t="n">
        <x:v>282</x:v>
      </x:c>
      <x:c r="L38" s="20" t="n">
        <x:f>IFERROR(ROUND(AVERAGE(J38:K38),0),"")</x:f>
        <x:v>229</x:v>
      </x:c>
      <x:c r="M38" s="14" t="str">
        <x:v>Levels.fyi metro senior SWE benchmark; company-specific Austin senior+ data not confirmed</x:v>
      </x:c>
      <x:c r="N38" s="14" t="str">
        <x:v>https://www.builtinaustin.com/articles/software-companies-in-austin-to-know</x:v>
      </x:c>
      <x:c r="O38" s="14" t="str">
        <x:v>https://www.levels.fyi/t/software-engineer/levels/senior/locations/greater-austin-area</x:v>
      </x:c>
      <x:c r="P38" s="14" t="str">
        <x:v>Benchmark used; product/SaaS engineering.</x:v>
      </x:c>
    </x:row>
    <x:row r="39" ht="54" customHeight="1">
      <x:c r="A39" s="16" t="n">
        <x:v>38</x:v>
      </x:c>
      <x:c r="B39" s="14" t="str">
        <x:v>Austin</x:v>
      </x:c>
      <x:c r="C39" s="14" t="str">
        <x:v>Austin</x:v>
      </x:c>
      <x:c r="D39" s="14" t="str">
        <x:v>LogicMonitor</x:v>
      </x:c>
      <x:c r="E39" s="14" t="str">
        <x:v>Listed in Austin software-company sources</x:v>
      </x:c>
      <x:c r="F39" s="14" t="str">
        <x:v>Infrastructure monitoring, observability SaaS</x:v>
      </x:c>
      <x:c r="G39" s="14" t="str">
        <x:v>Backend, data, SRE, observability, frontend</x:v>
      </x:c>
      <x:c r="H39" s="14" t="str">
        <x:v>Senior / Staff</x:v>
      </x:c>
      <x:c r="I39" s="14" t="str">
        <x:v>Austin senior SWE benchmark: $175K–$282K p25–p75; median $223K; p90 $356K</x:v>
      </x:c>
      <x:c r="J39" s="20" t="n">
        <x:v>175</x:v>
      </x:c>
      <x:c r="K39" s="20" t="n">
        <x:v>282</x:v>
      </x:c>
      <x:c r="L39" s="20" t="n">
        <x:f>IFERROR(ROUND(AVERAGE(J39:K39),0),"")</x:f>
        <x:v>229</x:v>
      </x:c>
      <x:c r="M39" s="14" t="str">
        <x:v>Levels.fyi metro senior SWE benchmark; company-specific Austin senior+ data not confirmed</x:v>
      </x:c>
      <x:c r="N39" s="14" t="str">
        <x:v>https://www.builtinaustin.com/articles/software-companies-in-austin-to-know</x:v>
      </x:c>
      <x:c r="O39" s="14" t="str">
        <x:v>https://www.levels.fyi/t/software-engineer/levels/senior/locations/greater-austin-area</x:v>
      </x:c>
      <x:c r="P39" s="14" t="str">
        <x:v>Benchmark used; good for infra/observability.</x:v>
      </x:c>
    </x:row>
    <x:row r="40" ht="54" customHeight="1">
      <x:c r="A40" s="16" t="n">
        <x:v>39</x:v>
      </x:c>
      <x:c r="B40" s="14" t="str">
        <x:v>Austin</x:v>
      </x:c>
      <x:c r="C40" s="14" t="str">
        <x:v>Austin</x:v>
      </x:c>
      <x:c r="D40" s="14" t="str">
        <x:v>NinjaOne</x:v>
      </x:c>
      <x:c r="E40" s="14" t="str">
        <x:v>Listed in Austin software-company sources</x:v>
      </x:c>
      <x:c r="F40" s="14" t="str">
        <x:v>IT operations, endpoint management, RMM SaaS</x:v>
      </x:c>
      <x:c r="G40" s="14" t="str">
        <x:v>Backend, Windows/Linux agents, cloud, frontend</x:v>
      </x:c>
      <x:c r="H40" s="14" t="str">
        <x:v>Senior / Staff</x:v>
      </x:c>
      <x:c r="I40" s="14" t="str">
        <x:v>Austin senior SWE benchmark: $175K–$282K p25–p75; median $223K; p90 $356K</x:v>
      </x:c>
      <x:c r="J40" s="20" t="n">
        <x:v>175</x:v>
      </x:c>
      <x:c r="K40" s="20" t="n">
        <x:v>282</x:v>
      </x:c>
      <x:c r="L40" s="20" t="n">
        <x:f>IFERROR(ROUND(AVERAGE(J40:K40),0),"")</x:f>
        <x:v>229</x:v>
      </x:c>
      <x:c r="M40" s="14" t="str">
        <x:v>Levels.fyi metro senior SWE benchmark; company-specific Austin senior+ data not confirmed</x:v>
      </x:c>
      <x:c r="N40" s="14" t="str">
        <x:v>https://www.builtinaustin.com/articles/software-companies-in-austin-to-know</x:v>
      </x:c>
      <x:c r="O40" s="14" t="str">
        <x:v>https://www.levels.fyi/t/software-engineer/levels/senior/locations/greater-austin-area</x:v>
      </x:c>
      <x:c r="P40" s="14" t="str">
        <x:v>Benchmark used; IT operations product.</x:v>
      </x:c>
    </x:row>
    <x:row r="41" ht="54" customHeight="1">
      <x:c r="A41" s="16" t="n">
        <x:v>40</x:v>
      </x:c>
      <x:c r="B41" s="14" t="str">
        <x:v>Austin</x:v>
      </x:c>
      <x:c r="C41" s="14" t="str">
        <x:v>Austin</x:v>
      </x:c>
      <x:c r="D41" s="14" t="str">
        <x:v>WP Engine</x:v>
      </x:c>
      <x:c r="E41" s="14" t="str">
        <x:v>Listed in Austin software-company sources</x:v>
      </x:c>
      <x:c r="F41" s="14" t="str">
        <x:v>Managed WordPress hosting, cloud platform</x:v>
      </x:c>
      <x:c r="G41" s="14" t="str">
        <x:v>Backend, infra, SRE, platform, security</x:v>
      </x:c>
      <x:c r="H41" s="14" t="str">
        <x:v>Senior / Staff</x:v>
      </x:c>
      <x:c r="I41" s="14" t="str">
        <x:v>Austin senior SWE benchmark: $175K–$282K p25–p75; median $223K; p90 $356K</x:v>
      </x:c>
      <x:c r="J41" s="20" t="n">
        <x:v>175</x:v>
      </x:c>
      <x:c r="K41" s="20" t="n">
        <x:v>282</x:v>
      </x:c>
      <x:c r="L41" s="20" t="n">
        <x:f>IFERROR(ROUND(AVERAGE(J41:K41),0),"")</x:f>
        <x:v>229</x:v>
      </x:c>
      <x:c r="M41" s="14" t="str">
        <x:v>Levels.fyi metro senior SWE benchmark; company-specific Austin senior+ data not confirmed</x:v>
      </x:c>
      <x:c r="N41" s="14" t="str">
        <x:v>https://www.builtinaustin.com/articles/software-companies-in-austin-to-know</x:v>
      </x:c>
      <x:c r="O41" s="14" t="str">
        <x:v>https://www.levels.fyi/t/software-engineer/levels/senior/locations/greater-austin-area</x:v>
      </x:c>
      <x:c r="P41" s="14" t="str">
        <x:v>Benchmark used; local Austin tech anchor.</x:v>
      </x:c>
    </x:row>
    <x:row r="42" ht="54" customHeight="1">
      <x:c r="A42" s="16" t="n">
        <x:v>41</x:v>
      </x:c>
      <x:c r="B42" s="14" t="str">
        <x:v>Austin</x:v>
      </x:c>
      <x:c r="C42" s="14" t="str">
        <x:v>Austin</x:v>
      </x:c>
      <x:c r="D42" s="14" t="str">
        <x:v>Iodine Software</x:v>
      </x:c>
      <x:c r="E42" s="14" t="str">
        <x:v>Listed in Built In Austin software directory</x:v>
      </x:c>
      <x:c r="F42" s="14" t="str">
        <x:v>Healthcare AI/NLP, clinical documentation software</x:v>
      </x:c>
      <x:c r="G42" s="14" t="str">
        <x:v>Backend, data, ML/NLP, platform</x:v>
      </x:c>
      <x:c r="H42" s="14" t="str">
        <x:v>Senior / Staff</x:v>
      </x:c>
      <x:c r="I42" s="14" t="str">
        <x:v>Austin senior SWE benchmark: $175K–$282K p25–p75; median $223K; p90 $356K</x:v>
      </x:c>
      <x:c r="J42" s="20" t="n">
        <x:v>175</x:v>
      </x:c>
      <x:c r="K42" s="20" t="n">
        <x:v>282</x:v>
      </x:c>
      <x:c r="L42" s="20" t="n">
        <x:f>IFERROR(ROUND(AVERAGE(J42:K42),0),"")</x:f>
        <x:v>229</x:v>
      </x:c>
      <x:c r="M42" s="14" t="str">
        <x:v>Levels.fyi metro senior SWE benchmark; company-specific Austin senior+ data not confirmed</x:v>
      </x:c>
      <x:c r="N42" s="14" t="str">
        <x:v>https://www.builtinaustin.com/companies/type/software-companies</x:v>
      </x:c>
      <x:c r="O42" s="14" t="str">
        <x:v>https://www.levels.fyi/t/software-engineer/levels/senior/locations/greater-austin-area</x:v>
      </x:c>
      <x:c r="P42" s="14" t="str">
        <x:v>Benchmark used; healthtech + NLP signal.</x:v>
      </x:c>
    </x:row>
    <x:row r="43" ht="54" customHeight="1">
      <x:c r="A43" s="16" t="n">
        <x:v>42</x:v>
      </x:c>
      <x:c r="B43" s="14" t="str">
        <x:v>Austin</x:v>
      </x:c>
      <x:c r="C43" s="14" t="str">
        <x:v>Austin</x:v>
      </x:c>
      <x:c r="D43" s="14" t="str">
        <x:v>Enverus</x:v>
      </x:c>
      <x:c r="E43" s="14" t="str">
        <x:v>Listed in Austin software-company sources</x:v>
      </x:c>
      <x:c r="F43" s="14" t="str">
        <x:v>Energy SaaS, analytics, data platforms</x:v>
      </x:c>
      <x:c r="G43" s="14" t="str">
        <x:v>Backend, data, GIS, analytics, frontend</x:v>
      </x:c>
      <x:c r="H43" s="14" t="str">
        <x:v>Senior / Staff</x:v>
      </x:c>
      <x:c r="I43" s="14" t="str">
        <x:v>Austin senior SWE benchmark: $175K–$282K p25–p75; median $223K; p90 $356K</x:v>
      </x:c>
      <x:c r="J43" s="20" t="n">
        <x:v>175</x:v>
      </x:c>
      <x:c r="K43" s="20" t="n">
        <x:v>282</x:v>
      </x:c>
      <x:c r="L43" s="20" t="n">
        <x:f>IFERROR(ROUND(AVERAGE(J43:K43),0),"")</x:f>
        <x:v>229</x:v>
      </x:c>
      <x:c r="M43" s="14" t="str">
        <x:v>Levels.fyi metro senior SWE benchmark; company-specific Austin senior+ data not confirmed</x:v>
      </x:c>
      <x:c r="N43" s="14" t="str">
        <x:v>https://www.builtinaustin.com/articles/software-companies-in-austin-to-know</x:v>
      </x:c>
      <x:c r="O43" s="14" t="str">
        <x:v>https://www.levels.fyi/t/software-engineer/levels/senior/locations/greater-austin-area</x:v>
      </x:c>
      <x:c r="P43" s="14" t="str">
        <x:v>Benchmark used; energy-data SaaS.</x:v>
      </x:c>
    </x:row>
    <x:row r="44" ht="54" customHeight="1">
      <x:c r="A44" s="16" t="n">
        <x:v>43</x:v>
      </x:c>
      <x:c r="B44" s="14" t="str">
        <x:v>Austin</x:v>
      </x:c>
      <x:c r="C44" s="14" t="str">
        <x:v>Austin</x:v>
      </x:c>
      <x:c r="D44" s="14" t="str">
        <x:v>M-Files</x:v>
      </x:c>
      <x:c r="E44" s="14" t="str">
        <x:v>Listed in Built In Austin software directory</x:v>
      </x:c>
      <x:c r="F44" s="14" t="str">
        <x:v>Document management, knowledge-work SaaS</x:v>
      </x:c>
      <x:c r="G44" s="14" t="str">
        <x:v>Backend, search, integrations, cloud platform</x:v>
      </x:c>
      <x:c r="H44" s="14" t="str">
        <x:v>Senior / Staff</x:v>
      </x:c>
      <x:c r="I44" s="14" t="str">
        <x:v>Austin senior SWE benchmark: $175K–$282K p25–p75; median $223K; p90 $356K</x:v>
      </x:c>
      <x:c r="J44" s="20" t="n">
        <x:v>175</x:v>
      </x:c>
      <x:c r="K44" s="20" t="n">
        <x:v>282</x:v>
      </x:c>
      <x:c r="L44" s="20" t="n">
        <x:f>IFERROR(ROUND(AVERAGE(J44:K44),0),"")</x:f>
        <x:v>229</x:v>
      </x:c>
      <x:c r="M44" s="14" t="str">
        <x:v>Levels.fyi metro senior SWE benchmark; company-specific Austin senior+ data not confirmed</x:v>
      </x:c>
      <x:c r="N44" s="14" t="str">
        <x:v>https://www.builtinaustin.com/companies/type/software-companies</x:v>
      </x:c>
      <x:c r="O44" s="14" t="str">
        <x:v>https://www.levels.fyi/t/software-engineer/levels/senior/locations/greater-austin-area</x:v>
      </x:c>
      <x:c r="P44" s="14" t="str">
        <x:v>Benchmark used; B2B SaaS.</x:v>
      </x:c>
    </x:row>
    <x:row r="45" ht="54" customHeight="1">
      <x:c r="A45" s="16" t="n">
        <x:v>44</x:v>
      </x:c>
      <x:c r="B45" s="14" t="str">
        <x:v>Austin</x:v>
      </x:c>
      <x:c r="C45" s="14" t="str">
        <x:v>Austin</x:v>
      </x:c>
      <x:c r="D45" s="14" t="str">
        <x:v>Lansweeper</x:v>
      </x:c>
      <x:c r="E45" s="14" t="str">
        <x:v>Listed in Austin software-company sources</x:v>
      </x:c>
      <x:c r="F45" s="14" t="str">
        <x:v>IT asset management, discovery, security posture</x:v>
      </x:c>
      <x:c r="G45" s="14" t="str">
        <x:v>Backend, data, agents, cloud, security</x:v>
      </x:c>
      <x:c r="H45" s="14" t="str">
        <x:v>Senior / Staff</x:v>
      </x:c>
      <x:c r="I45" s="14" t="str">
        <x:v>Austin senior SWE benchmark: $175K–$282K p25–p75; median $223K; p90 $356K</x:v>
      </x:c>
      <x:c r="J45" s="20" t="n">
        <x:v>175</x:v>
      </x:c>
      <x:c r="K45" s="20" t="n">
        <x:v>282</x:v>
      </x:c>
      <x:c r="L45" s="20" t="n">
        <x:f>IFERROR(ROUND(AVERAGE(J45:K45),0),"")</x:f>
        <x:v>229</x:v>
      </x:c>
      <x:c r="M45" s="14" t="str">
        <x:v>Levels.fyi metro senior SWE benchmark; company-specific Austin senior+ data not confirmed</x:v>
      </x:c>
      <x:c r="N45" s="14" t="str">
        <x:v>https://www.builtinaustin.com/articles/software-companies-in-austin-to-know</x:v>
      </x:c>
      <x:c r="O45" s="14" t="str">
        <x:v>https://www.levels.fyi/t/software-engineer/levels/senior/locations/greater-austin-area</x:v>
      </x:c>
      <x:c r="P45" s="14" t="str">
        <x:v>Benchmark used; IT asset/security-adjacent software.</x:v>
      </x:c>
    </x:row>
    <x:row r="46" ht="54" customHeight="1">
      <x:c r="A46" s="16" t="n">
        <x:v>45</x:v>
      </x:c>
      <x:c r="B46" s="14" t="str">
        <x:v>Austin</x:v>
      </x:c>
      <x:c r="C46" s="14" t="str">
        <x:v>Austin</x:v>
      </x:c>
      <x:c r="D46" s="14" t="str">
        <x:v>8am (AffiniPay)</x:v>
      </x:c>
      <x:c r="E46" s="14" t="str">
        <x:v>Listed in Austin software-company sources</x:v>
      </x:c>
      <x:c r="F46" s="14" t="str">
        <x:v>Legal/professional-services payments and practice software</x:v>
      </x:c>
      <x:c r="G46" s="14" t="str">
        <x:v>Backend, payments, integrations, frontend, mobile</x:v>
      </x:c>
      <x:c r="H46" s="14" t="str">
        <x:v>Senior / Staff</x:v>
      </x:c>
      <x:c r="I46" s="14" t="str">
        <x:v>Austin senior SWE benchmark: $175K–$282K p25–p75; median $223K; p90 $356K</x:v>
      </x:c>
      <x:c r="J46" s="20" t="n">
        <x:v>175</x:v>
      </x:c>
      <x:c r="K46" s="20" t="n">
        <x:v>282</x:v>
      </x:c>
      <x:c r="L46" s="20" t="n">
        <x:f>IFERROR(ROUND(AVERAGE(J46:K46),0),"")</x:f>
        <x:v>229</x:v>
      </x:c>
      <x:c r="M46" s="14" t="str">
        <x:v>Levels.fyi metro senior SWE benchmark; company-specific Austin senior+ data not confirmed</x:v>
      </x:c>
      <x:c r="N46" s="14" t="str">
        <x:v>https://www.builtinaustin.com/articles/software-companies-in-austin-to-know</x:v>
      </x:c>
      <x:c r="O46" s="14" t="str">
        <x:v>https://www.levels.fyi/t/software-engineer/levels/senior/locations/greater-austin-area</x:v>
      </x:c>
      <x:c r="P46" s="14" t="str">
        <x:v>Benchmark used; may appear as AffiniPay/8am.</x:v>
      </x:c>
    </x:row>
    <x:row r="47" ht="54" customHeight="1">
      <x:c r="A47" s="16" t="n">
        <x:v>46</x:v>
      </x:c>
      <x:c r="B47" s="14" t="str">
        <x:v>Austin</x:v>
      </x:c>
      <x:c r="C47" s="14" t="str">
        <x:v>Austin</x:v>
      </x:c>
      <x:c r="D47" s="14" t="str">
        <x:v>ForeFlight</x:v>
      </x:c>
      <x:c r="E47" s="14" t="str">
        <x:v>Listed in Austin software-company sources</x:v>
      </x:c>
      <x:c r="F47" s="14" t="str">
        <x:v>Aviation software, maps, flight planning</x:v>
      </x:c>
      <x:c r="G47" s="14" t="str">
        <x:v>Mobile, backend, geospatial, data, reliability</x:v>
      </x:c>
      <x:c r="H47" s="14" t="str">
        <x:v>Senior / Staff</x:v>
      </x:c>
      <x:c r="I47" s="14" t="str">
        <x:v>Austin senior SWE benchmark: $175K–$282K p25–p75; median $223K; p90 $356K</x:v>
      </x:c>
      <x:c r="J47" s="20" t="n">
        <x:v>175</x:v>
      </x:c>
      <x:c r="K47" s="20" t="n">
        <x:v>282</x:v>
      </x:c>
      <x:c r="L47" s="20" t="n">
        <x:f>IFERROR(ROUND(AVERAGE(J47:K47),0),"")</x:f>
        <x:v>229</x:v>
      </x:c>
      <x:c r="M47" s="14" t="str">
        <x:v>Levels.fyi metro senior SWE benchmark; company-specific Austin senior+ data not confirmed</x:v>
      </x:c>
      <x:c r="N47" s="14" t="str">
        <x:v>https://www.builtinaustin.com/articles/software-companies-in-austin-to-know</x:v>
      </x:c>
      <x:c r="O47" s="14" t="str">
        <x:v>https://www.levels.fyi/t/software-engineer/levels/senior/locations/greater-austin-area</x:v>
      </x:c>
      <x:c r="P47" s="14" t="str">
        <x:v>Benchmark used; aviation domain knowledge useful.</x:v>
      </x:c>
    </x:row>
    <x:row r="48" ht="54" customHeight="1">
      <x:c r="A48" s="16" t="n">
        <x:v>47</x:v>
      </x:c>
      <x:c r="B48" s="14" t="str">
        <x:v>Austin</x:v>
      </x:c>
      <x:c r="C48" s="14" t="str">
        <x:v>Austin</x:v>
      </x:c>
      <x:c r="D48" s="14" t="str">
        <x:v>Shipwell</x:v>
      </x:c>
      <x:c r="E48" s="14" t="str">
        <x:v>Listed among top Austin software companies</x:v>
      </x:c>
      <x:c r="F48" s="14" t="str">
        <x:v>Logistics SaaS, transportation management</x:v>
      </x:c>
      <x:c r="G48" s="14" t="str">
        <x:v>Backend, data, integrations, platform, frontend</x:v>
      </x:c>
      <x:c r="H48" s="14" t="str">
        <x:v>Senior / Staff</x:v>
      </x:c>
      <x:c r="I48" s="14" t="str">
        <x:v>Austin senior SWE benchmark: $175K–$282K p25–p75; median $223K; p90 $356K</x:v>
      </x:c>
      <x:c r="J48" s="20" t="n">
        <x:v>175</x:v>
      </x:c>
      <x:c r="K48" s="20" t="n">
        <x:v>282</x:v>
      </x:c>
      <x:c r="L48" s="20" t="n">
        <x:f>IFERROR(ROUND(AVERAGE(J48:K48),0),"")</x:f>
        <x:v>229</x:v>
      </x:c>
      <x:c r="M48" s="14" t="str">
        <x:v>Levels.fyi metro senior SWE benchmark; company-specific Austin senior+ data not confirmed</x:v>
      </x:c>
      <x:c r="N48" s="14" t="str">
        <x:v>https://www.builtinaustin.com/articles/software-companies-in-austin-to-know</x:v>
      </x:c>
      <x:c r="O48" s="14" t="str">
        <x:v>https://www.levels.fyi/t/software-engineer/levels/senior/locations/greater-austin-area</x:v>
      </x:c>
      <x:c r="P48" s="14" t="str">
        <x:v>Benchmark used; logistics/SaaS.</x:v>
      </x:c>
    </x:row>
    <x:row r="49" ht="54" customHeight="1">
      <x:c r="A49" s="16" t="n">
        <x:v>48</x:v>
      </x:c>
      <x:c r="B49" s="14" t="str">
        <x:v>Austin</x:v>
      </x:c>
      <x:c r="C49" s="14" t="str">
        <x:v>Austin</x:v>
      </x:c>
      <x:c r="D49" s="14" t="str">
        <x:v>Qualia</x:v>
      </x:c>
      <x:c r="E49" s="14" t="str">
        <x:v>Listed among top Austin software companies</x:v>
      </x:c>
      <x:c r="F49" s="14" t="str">
        <x:v>Real estate/title/closing SaaS</x:v>
      </x:c>
      <x:c r="G49" s="14" t="str">
        <x:v>Backend, fintech/proptech, integrations, frontend</x:v>
      </x:c>
      <x:c r="H49" s="14" t="str">
        <x:v>Senior / Staff</x:v>
      </x:c>
      <x:c r="I49" s="14" t="str">
        <x:v>Austin senior SWE benchmark: $175K–$282K p25–p75; median $223K; p90 $356K</x:v>
      </x:c>
      <x:c r="J49" s="20" t="n">
        <x:v>175</x:v>
      </x:c>
      <x:c r="K49" s="20" t="n">
        <x:v>282</x:v>
      </x:c>
      <x:c r="L49" s="20" t="n">
        <x:f>IFERROR(ROUND(AVERAGE(J49:K49),0),"")</x:f>
        <x:v>229</x:v>
      </x:c>
      <x:c r="M49" s="14" t="str">
        <x:v>Levels.fyi metro senior SWE benchmark; company-specific Austin senior+ data not confirmed</x:v>
      </x:c>
      <x:c r="N49" s="14" t="str">
        <x:v>https://www.builtinaustin.com/articles/software-companies-in-austin-to-know</x:v>
      </x:c>
      <x:c r="O49" s="14" t="str">
        <x:v>https://www.levels.fyi/t/software-engineer/levels/senior/locations/greater-austin-area</x:v>
      </x:c>
      <x:c r="P49" s="14" t="str">
        <x:v>Benchmark used; proptech SaaS.</x:v>
      </x:c>
    </x:row>
    <x:row r="50" ht="54" customHeight="1">
      <x:c r="A50" s="16" t="n">
        <x:v>49</x:v>
      </x:c>
      <x:c r="B50" s="14" t="str">
        <x:v>Austin</x:v>
      </x:c>
      <x:c r="C50" s="14" t="str">
        <x:v>Austin</x:v>
      </x:c>
      <x:c r="D50" s="14" t="str">
        <x:v>ActiveProspect</x:v>
      </x:c>
      <x:c r="E50" s="14" t="str">
        <x:v>Listed among top Austin software companies</x:v>
      </x:c>
      <x:c r="F50" s="14" t="str">
        <x:v>Lead consent, martech, compliance software</x:v>
      </x:c>
      <x:c r="G50" s="14" t="str">
        <x:v>Backend, data, integrations, frontend</x:v>
      </x:c>
      <x:c r="H50" s="14" t="str">
        <x:v>Senior / Staff</x:v>
      </x:c>
      <x:c r="I50" s="14" t="str">
        <x:v>Austin senior SWE benchmark: $175K–$282K p25–p75; median $223K; p90 $356K</x:v>
      </x:c>
      <x:c r="J50" s="20" t="n">
        <x:v>175</x:v>
      </x:c>
      <x:c r="K50" s="20" t="n">
        <x:v>282</x:v>
      </x:c>
      <x:c r="L50" s="20" t="n">
        <x:f>IFERROR(ROUND(AVERAGE(J50:K50),0),"")</x:f>
        <x:v>229</x:v>
      </x:c>
      <x:c r="M50" s="14" t="str">
        <x:v>Levels.fyi metro senior SWE benchmark; company-specific Austin senior+ data not confirmed</x:v>
      </x:c>
      <x:c r="N50" s="14" t="str">
        <x:v>https://www.builtinaustin.com/articles/software-companies-in-austin-to-know</x:v>
      </x:c>
      <x:c r="O50" s="14" t="str">
        <x:v>https://www.levels.fyi/t/software-engineer/levels/senior/locations/greater-austin-area</x:v>
      </x:c>
      <x:c r="P50" s="14" t="str">
        <x:v>Benchmark used; B2B SaaS.</x:v>
      </x:c>
    </x:row>
    <x:row r="51" ht="54" customHeight="1">
      <x:c r="A51" s="16" t="n">
        <x:v>50</x:v>
      </x:c>
      <x:c r="B51" s="14" t="str">
        <x:v>Austin</x:v>
      </x:c>
      <x:c r="C51" s="14" t="str">
        <x:v>Austin</x:v>
      </x:c>
      <x:c r="D51" s="14" t="str">
        <x:v>Living Security</x:v>
      </x:c>
      <x:c r="E51" s="14" t="str">
        <x:v>Listed among top Austin software companies</x:v>
      </x:c>
      <x:c r="F51" s="14" t="str">
        <x:v>Cybersecurity training, human-risk software</x:v>
      </x:c>
      <x:c r="G51" s="14" t="str">
        <x:v>Backend, security, data, platform, frontend</x:v>
      </x:c>
      <x:c r="H51" s="14" t="str">
        <x:v>Senior / Staff</x:v>
      </x:c>
      <x:c r="I51" s="14" t="str">
        <x:v>Austin senior SWE benchmark: $175K–$282K p25–p75; median $223K; p90 $356K</x:v>
      </x:c>
      <x:c r="J51" s="20" t="n">
        <x:v>175</x:v>
      </x:c>
      <x:c r="K51" s="20" t="n">
        <x:v>282</x:v>
      </x:c>
      <x:c r="L51" s="20" t="n">
        <x:f>IFERROR(ROUND(AVERAGE(J51:K51),0),"")</x:f>
        <x:v>229</x:v>
      </x:c>
      <x:c r="M51" s="14" t="str">
        <x:v>Levels.fyi metro senior SWE benchmark; company-specific Austin senior+ data not confirmed</x:v>
      </x:c>
      <x:c r="N51" s="14" t="str">
        <x:v>https://www.builtinaustin.com/articles/software-companies-in-austin-to-know</x:v>
      </x:c>
      <x:c r="O51" s="14" t="str">
        <x:v>https://www.levels.fyi/t/software-engineer/levels/senior/locations/greater-austin-area</x:v>
      </x:c>
      <x:c r="P51" s="14" t="str">
        <x:v>Benchmark used; cybersecurity product company.</x:v>
      </x:c>
    </x:row>
    <x:row r="52" ht="54" customHeight="1">
      <x:c r="A52" s="16" t="n">
        <x:v>51</x:v>
      </x:c>
      <x:c r="B52" s="14" t="str">
        <x:v>Dallas/DFW</x:v>
      </x:c>
      <x:c r="C52" s="14" t="str">
        <x:v>Dallas / DFW</x:v>
      </x:c>
      <x:c r="D52" s="14" t="str">
        <x:v>Amazon / AWS</x:v>
      </x:c>
      <x:c r="E52" s="14" t="str">
        <x:v>DFW cloud/ecommerce engineering presence</x:v>
      </x:c>
      <x:c r="F52" s="14" t="str">
        <x:v>Cloud infrastructure, ecommerce, AI/data platforms</x:v>
      </x:c>
      <x:c r="G52" s="14" t="str">
        <x:v>Backend, distributed systems, SRE, data, security</x:v>
      </x:c>
      <x:c r="H52" s="14" t="str">
        <x:v>L5 SDE II / L6 SDE III</x:v>
      </x:c>
      <x:c r="I52" s="14" t="str">
        <x:v>Levels.fyi Dallas SWE: L5 $241K, L6 $362K</x:v>
      </x:c>
      <x:c r="J52" s="20" t="n">
        <x:v>241</x:v>
      </x:c>
      <x:c r="K52" s="20" t="n">
        <x:v>362</x:v>
      </x:c>
      <x:c r="L52" s="20" t="n">
        <x:f>IFERROR(ROUND(AVERAGE(J52:K52),0),"")</x:f>
        <x:v>302</x:v>
      </x:c>
      <x:c r="M52" s="14" t="str">
        <x:v>Levels.fyi company metro senior+ data</x:v>
      </x:c>
      <x:c r="N52" s="14" t="str">
        <x:v>https://github.com/mnutsch/DFW_Tech_Companies</x:v>
      </x:c>
      <x:c r="O52" s="14" t="str">
        <x:v>https://www.levels.fyi/companies/amazon/salaries/software-engineer/locations/greater-dallas-area</x:v>
      </x:c>
      <x:c r="P52" s="14" t="str">
        <x:v>DFW Tech Companies list includes AWS Dallas.</x:v>
      </x:c>
    </x:row>
    <x:row r="53" ht="54" customHeight="1">
      <x:c r="A53" s="16" t="n">
        <x:v>52</x:v>
      </x:c>
      <x:c r="B53" s="14" t="str">
        <x:v>Dallas/DFW</x:v>
      </x:c>
      <x:c r="C53" s="14" t="str">
        <x:v>Dallas / Irving</x:v>
      </x:c>
      <x:c r="D53" s="14" t="str">
        <x:v>Microsoft</x:v>
      </x:c>
      <x:c r="E53" s="14" t="str">
        <x:v>DFW enterprise/cloud presence</x:v>
      </x:c>
      <x:c r="F53" s="14" t="str">
        <x:v>Cloud, AI, productivity and enterprise platforms</x:v>
      </x:c>
      <x:c r="G53" s="14" t="str">
        <x:v>Backend, Azure, data, security, SRE</x:v>
      </x:c>
      <x:c r="H53" s="14" t="str">
        <x:v>62 Senior / 63–65 Principal path</x:v>
      </x:c>
      <x:c r="I53" s="14" t="str">
        <x:v>Levels.fyi Dallas SWE: 62 $183K; up to 65 $284K</x:v>
      </x:c>
      <x:c r="J53" s="20" t="n">
        <x:v>183</x:v>
      </x:c>
      <x:c r="K53" s="20" t="n">
        <x:v>284</x:v>
      </x:c>
      <x:c r="L53" s="20" t="n">
        <x:f>IFERROR(ROUND(AVERAGE(J53:K53),0),"")</x:f>
        <x:v>234</x:v>
      </x:c>
      <x:c r="M53" s="14" t="str">
        <x:v>Levels.fyi company metro data</x:v>
      </x:c>
      <x:c r="N53" s="14" t="str">
        <x:v>https://github.com/mnutsch/DFW_Tech_Companies</x:v>
      </x:c>
      <x:c r="O53" s="14" t="str">
        <x:v>https://www.levels.fyi/companies/microsoft/salaries/software-engineer/locations/greater-dallas-area</x:v>
      </x:c>
      <x:c r="P53" s="14" t="str">
        <x:v>Strong local benchmark for large-tech comp.</x:v>
      </x:c>
    </x:row>
    <x:row r="54" ht="54" customHeight="1">
      <x:c r="A54" s="16" t="n">
        <x:v>53</x:v>
      </x:c>
      <x:c r="B54" s="14" t="str">
        <x:v>Dallas/DFW</x:v>
      </x:c>
      <x:c r="C54" s="14" t="str">
        <x:v>Plano / DFW</x:v>
      </x:c>
      <x:c r="D54" s="14" t="str">
        <x:v>Capital One</x:v>
      </x:c>
      <x:c r="E54" s="14" t="str">
        <x:v>Large DFW technology/banking presence</x:v>
      </x:c>
      <x:c r="F54" s="14" t="str">
        <x:v>Fintech, banking platforms, cloud/data</x:v>
      </x:c>
      <x:c r="G54" s="14" t="str">
        <x:v>Backend, full-stack, data, cloud, security</x:v>
      </x:c>
      <x:c r="H54" s="14" t="str">
        <x:v>Senior SWE / Lead / Distinguished</x:v>
      </x:c>
      <x:c r="I54" s="14" t="str">
        <x:v>Levels.fyi Dallas SWE: Senior $170K; Lead $203K; Distinguished up to $301K</x:v>
      </x:c>
      <x:c r="J54" s="20" t="n">
        <x:v>170</x:v>
      </x:c>
      <x:c r="K54" s="20" t="n">
        <x:v>301</x:v>
      </x:c>
      <x:c r="L54" s="20" t="n">
        <x:f>IFERROR(ROUND(AVERAGE(J54:K54),0),"")</x:f>
        <x:v>236</x:v>
      </x:c>
      <x:c r="M54" s="14" t="str">
        <x:v>Levels.fyi company metro senior+ data</x:v>
      </x:c>
      <x:c r="N54" s="14" t="str">
        <x:v>https://www.linkedin.com/pulse/linkedin-top-companies-2026-10-best-employers-grow-your-9pt0e</x:v>
      </x:c>
      <x:c r="O54" s="14" t="str">
        <x:v>https://www.levels.fyi/companies/capital-one/salaries/software-engineer/locations/greater-dallas-area</x:v>
      </x:c>
      <x:c r="P54" s="14" t="str">
        <x:v>Large non-Big-Tech SWE employer; strong cloud/data roles.</x:v>
      </x:c>
    </x:row>
    <x:row r="55" ht="54" customHeight="1">
      <x:c r="A55" s="16" t="n">
        <x:v>54</x:v>
      </x:c>
      <x:c r="B55" s="14" t="str">
        <x:v>Dallas/DFW</x:v>
      </x:c>
      <x:c r="C55" s="14" t="str">
        <x:v>Plano / DFW</x:v>
      </x:c>
      <x:c r="D55" s="14" t="str">
        <x:v>JPMorgan Chase</x:v>
      </x:c>
      <x:c r="E55" s="14" t="str">
        <x:v>Large Plano/DFW banking technology presence</x:v>
      </x:c>
      <x:c r="F55" s="14" t="str">
        <x:v>Banking platforms, cloud, data, cyber</x:v>
      </x:c>
      <x:c r="G55" s="14" t="str">
        <x:v>Backend, data, cloud, security, platform</x:v>
      </x:c>
      <x:c r="H55" s="14" t="str">
        <x:v>602 Senior Associate / 603 VP / 604</x:v>
      </x:c>
      <x:c r="I55" s="14" t="str">
        <x:v>Levels.fyi Dallas SWE: 602 $153K, 603 $203K, 604 up to $319K</x:v>
      </x:c>
      <x:c r="J55" s="20" t="n">
        <x:v>153</x:v>
      </x:c>
      <x:c r="K55" s="20" t="n">
        <x:v>319</x:v>
      </x:c>
      <x:c r="L55" s="20" t="n">
        <x:f>IFERROR(ROUND(AVERAGE(J55:K55),0),"")</x:f>
        <x:v>236</x:v>
      </x:c>
      <x:c r="M55" s="14" t="str">
        <x:v>Levels.fyi company metro senior+ data</x:v>
      </x:c>
      <x:c r="N55" s="14" t="str">
        <x:v>https://www.linkedin.com/pulse/linkedin-top-companies-2026-10-best-employers-grow-your-9pt0e</x:v>
      </x:c>
      <x:c r="O55" s="14" t="str">
        <x:v>https://www.levels.fyi/companies/jpmorgan-chase/salaries/software-engineer/locations/greater-dallas-area</x:v>
      </x:c>
      <x:c r="P55" s="14" t="str">
        <x:v>Good senior target if finance/platform background.</x:v>
      </x:c>
    </x:row>
    <x:row r="56" ht="54" customHeight="1">
      <x:c r="A56" s="16" t="n">
        <x:v>55</x:v>
      </x:c>
      <x:c r="B56" s="14" t="str">
        <x:v>Dallas/DFW</x:v>
      </x:c>
      <x:c r="C56" s="14" t="str">
        <x:v>Dallas</x:v>
      </x:c>
      <x:c r="D56" s="14" t="str">
        <x:v>AT&amp;T</x:v>
      </x:c>
      <x:c r="E56" s="14" t="str">
        <x:v>Dallas HQ and major technology employer</x:v>
      </x:c>
      <x:c r="F56" s="14" t="str">
        <x:v>Telecom, network/cloud software, data platforms</x:v>
      </x:c>
      <x:c r="G56" s="14" t="str">
        <x:v>Backend, network software, cloud, security, data</x:v>
      </x:c>
      <x:c r="H56" s="14" t="str">
        <x:v>L2/L3 senior steps</x:v>
      </x:c>
      <x:c r="I56" s="14" t="str">
        <x:v>Levels.fyi Dallas SWE: L2 Step 4 $151K; L3 Step 7 up to $169K</x:v>
      </x:c>
      <x:c r="J56" s="20" t="n">
        <x:v>151</x:v>
      </x:c>
      <x:c r="K56" s="20" t="n">
        <x:v>169</x:v>
      </x:c>
      <x:c r="L56" s="20" t="n">
        <x:f>IFERROR(ROUND(AVERAGE(J56:K56),0),"")</x:f>
        <x:v>160</x:v>
      </x:c>
      <x:c r="M56" s="14" t="str">
        <x:v>Levels.fyi company metro senior+ data</x:v>
      </x:c>
      <x:c r="N56" s="14" t="str">
        <x:v>https://www.linkedin.com/pulse/linkedin-top-companies-2026-10-best-employers-grow-your-9pt0e</x:v>
      </x:c>
      <x:c r="O56" s="14" t="str">
        <x:v>https://www.levels.fyi/companies/atandt/salaries/software-engineer/locations/greater-dallas-area</x:v>
      </x:c>
      <x:c r="P56" s="14" t="str">
        <x:v>Telecom domain; many senior roles are platform/networking oriented.</x:v>
      </x:c>
    </x:row>
    <x:row r="57" ht="54" customHeight="1">
      <x:c r="A57" s="16" t="n">
        <x:v>56</x:v>
      </x:c>
      <x:c r="B57" s="14" t="str">
        <x:v>Dallas/DFW</x:v>
      </x:c>
      <x:c r="C57" s="14" t="str">
        <x:v>Dallas</x:v>
      </x:c>
      <x:c r="D57" s="14" t="str">
        <x:v>Texas Instruments</x:v>
      </x:c>
      <x:c r="E57" s="14" t="str">
        <x:v>Dallas HQ</x:v>
      </x:c>
      <x:c r="F57" s="14" t="str">
        <x:v>Semiconductors, embedded systems, tools/software</x:v>
      </x:c>
      <x:c r="G57" s="14" t="str">
        <x:v>Embedded, firmware, systems, tools, platform</x:v>
      </x:c>
      <x:c r="H57" s="14" t="str">
        <x:v>Level 24–31 path</x:v>
      </x:c>
      <x:c r="I57" s="14" t="str">
        <x:v>Levels.fyi Dallas SWE range: $117K–$248K for levels 24–31</x:v>
      </x:c>
      <x:c r="J57" s="20" t="n">
        <x:v>117</x:v>
      </x:c>
      <x:c r="K57" s="20" t="n">
        <x:v>248</x:v>
      </x:c>
      <x:c r="L57" s="20" t="n">
        <x:f>IFERROR(ROUND(AVERAGE(J57:K57),0),"")</x:f>
        <x:v>183</x:v>
      </x:c>
      <x:c r="M57" s="14" t="str">
        <x:v>Levels.fyi company metro all-level data</x:v>
      </x:c>
      <x:c r="N57" s="14" t="str">
        <x:v>https://github.com/mnutsch/DFW_Tech_Companies</x:v>
      </x:c>
      <x:c r="O57" s="14" t="str">
        <x:v>https://www.levels.fyi/companies/texas-instruments/salaries/software-engineer/locations/greater-dallas-area</x:v>
      </x:c>
      <x:c r="P57" s="14" t="str">
        <x:v>Best for embedded/systems/firmware engineers.</x:v>
      </x:c>
    </x:row>
    <x:row r="58" ht="54" customHeight="1">
      <x:c r="A58" s="16" t="n">
        <x:v>57</x:v>
      </x:c>
      <x:c r="B58" s="14" t="str">
        <x:v>Dallas/DFW</x:v>
      </x:c>
      <x:c r="C58" s="14" t="str">
        <x:v>Fort Worth / DFW</x:v>
      </x:c>
      <x:c r="D58" s="14" t="str">
        <x:v>Lockheed Martin</x:v>
      </x:c>
      <x:c r="E58" s="14" t="str">
        <x:v>Major Fort Worth/DFW aerospace/defense presence</x:v>
      </x:c>
      <x:c r="F58" s="14" t="str">
        <x:v>Defense, aerospace software, mission systems</x:v>
      </x:c>
      <x:c r="G58" s="14" t="str">
        <x:v>Embedded, systems, security, simulation, cloud/data</x:v>
      </x:c>
      <x:c r="H58" s="14" t="str">
        <x:v>E3 Senior / E4 Staff / E5</x:v>
      </x:c>
      <x:c r="I58" s="14" t="str">
        <x:v>Levels.fyi Dallas SWE: E3 $128K, E4 $163K, E5 $222K</x:v>
      </x:c>
      <x:c r="J58" s="20" t="n">
        <x:v>128</x:v>
      </x:c>
      <x:c r="K58" s="20" t="n">
        <x:v>222</x:v>
      </x:c>
      <x:c r="L58" s="20" t="n">
        <x:f>IFERROR(ROUND(AVERAGE(J58:K58),0),"")</x:f>
        <x:v>175</x:v>
      </x:c>
      <x:c r="M58" s="14" t="str">
        <x:v>Levels.fyi company metro senior+ data</x:v>
      </x:c>
      <x:c r="N58" s="14" t="str">
        <x:v>https://builtin.com/companies/location/dallas-fort-worth/type/software-companies</x:v>
      </x:c>
      <x:c r="O58" s="14" t="str">
        <x:v>https://www.levels.fyi/companies/lockheed-martin/salaries/software-engineer/locations/greater-dallas-area</x:v>
      </x:c>
      <x:c r="P58" s="14" t="str">
        <x:v>Clearance/defense domain can change offer profile.</x:v>
      </x:c>
    </x:row>
    <x:row r="59" ht="54" customHeight="1">
      <x:c r="A59" s="16" t="n">
        <x:v>58</x:v>
      </x:c>
      <x:c r="B59" s="14" t="str">
        <x:v>Dallas/DFW</x:v>
      </x:c>
      <x:c r="C59" s="14" t="str">
        <x:v>Dallas</x:v>
      </x:c>
      <x:c r="D59" s="14" t="str">
        <x:v>Citadel</x:v>
      </x:c>
      <x:c r="E59" s="14" t="str">
        <x:v>Listed in Built In Dallas software companies</x:v>
      </x:c>
      <x:c r="F59" s="14" t="str">
        <x:v>Finance/trading technology</x:v>
      </x:c>
      <x:c r="G59" s="14" t="str">
        <x:v>Low-latency, backend, data, infra, quantitative engineering</x:v>
      </x:c>
      <x:c r="H59" s="14" t="str">
        <x:v>Senior / Staff</x:v>
      </x:c>
      <x:c r="I59" s="14" t="str">
        <x:v>Dallas senior SWE benchmark: $138K–$210K p25–p75; median $168K; p90 $263K</x:v>
      </x:c>
      <x:c r="J59" s="20" t="n">
        <x:v>138</x:v>
      </x:c>
      <x:c r="K59" s="20" t="n">
        <x:v>210</x:v>
      </x:c>
      <x:c r="L59" s="20" t="n">
        <x:f>IFERROR(ROUND(AVERAGE(J59:K59),0),"")</x:f>
        <x:v>174</x:v>
      </x:c>
      <x:c r="M59" s="14" t="str">
        <x:v>Levels.fyi metro senior SWE benchmark; company-specific Dallas senior+ data not confirmed</x:v>
      </x:c>
      <x:c r="N59" s="14" t="str">
        <x:v>https://builtin.com/companies/location/dallas-fort-worth/type/software-companies</x:v>
      </x:c>
      <x:c r="O59" s="14" t="str">
        <x:v>https://www.levels.fyi/t/software-engineer/levels/senior/locations/greater-dallas-area</x:v>
      </x:c>
      <x:c r="P59" s="14" t="str">
        <x:v>Benchmark used; comp can exceed metro benchmark for trading-tech roles but local public data not confirmed.</x:v>
      </x:c>
    </x:row>
    <x:row r="60" ht="54" customHeight="1">
      <x:c r="A60" s="16" t="n">
        <x:v>59</x:v>
      </x:c>
      <x:c r="B60" s="14" t="str">
        <x:v>Dallas/DFW</x:v>
      </x:c>
      <x:c r="C60" s="14" t="str">
        <x:v>Irving / DFW</x:v>
      </x:c>
      <x:c r="D60" s="14" t="str">
        <x:v>Citi</x:v>
      </x:c>
      <x:c r="E60" s="14" t="str">
        <x:v>Large Irving/DFW banking technology presence</x:v>
      </x:c>
      <x:c r="F60" s="14" t="str">
        <x:v>Banking platforms, risk, data, cyber</x:v>
      </x:c>
      <x:c r="G60" s="14" t="str">
        <x:v>Backend, data, cloud, security, platform</x:v>
      </x:c>
      <x:c r="H60" s="14" t="str">
        <x:v>C12 AVP / C13 VP / C14</x:v>
      </x:c>
      <x:c r="I60" s="14" t="str">
        <x:v>Levels.fyi Dallas SWE: C12 $126K, C13 $158K, C14 $196K</x:v>
      </x:c>
      <x:c r="J60" s="20" t="n">
        <x:v>126</x:v>
      </x:c>
      <x:c r="K60" s="20" t="n">
        <x:v>196</x:v>
      </x:c>
      <x:c r="L60" s="20" t="n">
        <x:f>IFERROR(ROUND(AVERAGE(J60:K60),0),"")</x:f>
        <x:v>161</x:v>
      </x:c>
      <x:c r="M60" s="14" t="str">
        <x:v>Levels.fyi company metro senior+ data</x:v>
      </x:c>
      <x:c r="N60" s="14" t="str">
        <x:v>https://www.linkedin.com/pulse/linkedin-top-companies-2026-10-best-employers-grow-your-9pt0e</x:v>
      </x:c>
      <x:c r="O60" s="14" t="str">
        <x:v>https://www.levels.fyi/companies/citi/salaries/software-engineer/locations/greater-dallas-area</x:v>
      </x:c>
      <x:c r="P60" s="14" t="str">
        <x:v>Finance platform target; title mapping matters.</x:v>
      </x:c>
    </x:row>
    <x:row r="61" ht="54" customHeight="1">
      <x:c r="A61" s="16" t="n">
        <x:v>60</x:v>
      </x:c>
      <x:c r="B61" s="14" t="str">
        <x:v>Dallas/DFW</x:v>
      </x:c>
      <x:c r="C61" s="14" t="str">
        <x:v>Dallas / DFW</x:v>
      </x:c>
      <x:c r="D61" s="14" t="str">
        <x:v>Bank of America</x:v>
      </x:c>
      <x:c r="E61" s="14" t="str">
        <x:v>Large DFW financial-services employer</x:v>
      </x:c>
      <x:c r="F61" s="14" t="str">
        <x:v>Banking platforms, data, cloud, cyber</x:v>
      </x:c>
      <x:c r="G61" s="14" t="str">
        <x:v>Backend, data, cloud, platform, security</x:v>
      </x:c>
      <x:c r="H61" s="14" t="str">
        <x:v>Senior / Staff / VP-level</x:v>
      </x:c>
      <x:c r="I61" s="14" t="str">
        <x:v>Dallas senior SWE benchmark: $138K–$210K p25–p75; median $168K; p90 $263K</x:v>
      </x:c>
      <x:c r="J61" s="20" t="n">
        <x:v>138</x:v>
      </x:c>
      <x:c r="K61" s="20" t="n">
        <x:v>210</x:v>
      </x:c>
      <x:c r="L61" s="20" t="n">
        <x:f>IFERROR(ROUND(AVERAGE(J61:K61),0),"")</x:f>
        <x:v>174</x:v>
      </x:c>
      <x:c r="M61" s="14" t="str">
        <x:v>Levels.fyi metro senior SWE benchmark; company-specific Dallas senior+ data not confirmed</x:v>
      </x:c>
      <x:c r="N61" s="14" t="str">
        <x:v>https://www.linkedin.com/pulse/linkedin-top-companies-2026-10-best-employers-grow-your-9pt0e</x:v>
      </x:c>
      <x:c r="O61" s="14" t="str">
        <x:v>https://www.levels.fyi/t/software-engineer/levels/senior/locations/greater-dallas-area</x:v>
      </x:c>
      <x:c r="P61" s="14" t="str">
        <x:v>Benchmark used; verify local SWE team/org before applying.</x:v>
      </x:c>
    </x:row>
    <x:row r="62" ht="54" customHeight="1">
      <x:c r="A62" s="16" t="n">
        <x:v>61</x:v>
      </x:c>
      <x:c r="B62" s="14" t="str">
        <x:v>Dallas/DFW</x:v>
      </x:c>
      <x:c r="C62" s="14" t="str">
        <x:v>Westlake / DFW</x:v>
      </x:c>
      <x:c r="D62" s="14" t="str">
        <x:v>Fidelity Investments</x:v>
      </x:c>
      <x:c r="E62" s="14" t="str">
        <x:v>Large Westlake/DFW financial technology presence</x:v>
      </x:c>
      <x:c r="F62" s="14" t="str">
        <x:v>Brokerage platforms, wealth tech, data</x:v>
      </x:c>
      <x:c r="G62" s="14" t="str">
        <x:v>Backend, cloud, data, security, frontend</x:v>
      </x:c>
      <x:c r="H62" s="14" t="str">
        <x:v>Senior / Principal</x:v>
      </x:c>
      <x:c r="I62" s="14" t="str">
        <x:v>Dallas senior SWE benchmark: $138K–$210K p25–p75; median $168K; p90 $263K</x:v>
      </x:c>
      <x:c r="J62" s="20" t="n">
        <x:v>138</x:v>
      </x:c>
      <x:c r="K62" s="20" t="n">
        <x:v>210</x:v>
      </x:c>
      <x:c r="L62" s="20" t="n">
        <x:f>IFERROR(ROUND(AVERAGE(J62:K62),0),"")</x:f>
        <x:v>174</x:v>
      </x:c>
      <x:c r="M62" s="14" t="str">
        <x:v>Levels.fyi metro senior SWE benchmark; company-specific Dallas senior+ data not confirmed</x:v>
      </x:c>
      <x:c r="N62" s="14" t="str">
        <x:v>https://www.linkedin.com/pulse/linkedin-top-companies-2026-10-best-employers-grow-your-9pt0e</x:v>
      </x:c>
      <x:c r="O62" s="14" t="str">
        <x:v>https://www.levels.fyi/t/software-engineer/levels/senior/locations/greater-dallas-area</x:v>
      </x:c>
      <x:c r="P62" s="14" t="str">
        <x:v>Benchmark used; strong financial-platform employer.</x:v>
      </x:c>
    </x:row>
    <x:row r="63" ht="54" customHeight="1">
      <x:c r="A63" s="16" t="n">
        <x:v>62</x:v>
      </x:c>
      <x:c r="B63" s="14" t="str">
        <x:v>Dallas/DFW</x:v>
      </x:c>
      <x:c r="C63" s="14" t="str">
        <x:v>Westlake / DFW</x:v>
      </x:c>
      <x:c r="D63" s="14" t="str">
        <x:v>Charles Schwab</x:v>
      </x:c>
      <x:c r="E63" s="14" t="str">
        <x:v>Large Westlake/DFW brokerage technology presence</x:v>
      </x:c>
      <x:c r="F63" s="14" t="str">
        <x:v>Brokerage platforms, trading, data, cloud</x:v>
      </x:c>
      <x:c r="G63" s="14" t="str">
        <x:v>Backend, data, cloud, security, platform</x:v>
      </x:c>
      <x:c r="H63" s="14" t="str">
        <x:v>Senior / Principal</x:v>
      </x:c>
      <x:c r="I63" s="14" t="str">
        <x:v>Dallas senior SWE benchmark: $138K–$210K p25–p75; median $168K; p90 $263K</x:v>
      </x:c>
      <x:c r="J63" s="20" t="n">
        <x:v>138</x:v>
      </x:c>
      <x:c r="K63" s="20" t="n">
        <x:v>210</x:v>
      </x:c>
      <x:c r="L63" s="20" t="n">
        <x:f>IFERROR(ROUND(AVERAGE(J63:K63),0),"")</x:f>
        <x:v>174</x:v>
      </x:c>
      <x:c r="M63" s="14" t="str">
        <x:v>Levels.fyi metro senior SWE benchmark; company-specific Dallas senior+ data not confirmed</x:v>
      </x:c>
      <x:c r="N63" s="14" t="str">
        <x:v>https://www.linkedin.com/pulse/linkedin-top-companies-2026-10-best-employers-grow-your-9pt0e</x:v>
      </x:c>
      <x:c r="O63" s="14" t="str">
        <x:v>https://www.levels.fyi/t/software-engineer/levels/senior/locations/greater-dallas-area</x:v>
      </x:c>
      <x:c r="P63" s="14" t="str">
        <x:v>Benchmark used; verify team-specific hybrid/onsite expectations.</x:v>
      </x:c>
    </x:row>
    <x:row r="64" ht="54" customHeight="1">
      <x:c r="A64" s="16" t="n">
        <x:v>63</x:v>
      </x:c>
      <x:c r="B64" s="14" t="str">
        <x:v>Dallas/DFW</x:v>
      </x:c>
      <x:c r="C64" s="14" t="str">
        <x:v>Plano</x:v>
      </x:c>
      <x:c r="D64" s="14" t="str">
        <x:v>Toyota Connected / Toyota North America</x:v>
      </x:c>
      <x:c r="E64" s="14" t="str">
        <x:v>Plano connected-vehicle/data platform presence</x:v>
      </x:c>
      <x:c r="F64" s="14" t="str">
        <x:v>Connected vehicles, mobility platforms, data</x:v>
      </x:c>
      <x:c r="G64" s="14" t="str">
        <x:v>Backend, mobile, data, cloud, IoT/vehicle platforms</x:v>
      </x:c>
      <x:c r="H64" s="14" t="str">
        <x:v>Senior / Staff</x:v>
      </x:c>
      <x:c r="I64" s="14" t="str">
        <x:v>Dallas senior SWE benchmark: $138K–$210K p25–p75; median $168K; p90 $263K</x:v>
      </x:c>
      <x:c r="J64" s="20" t="n">
        <x:v>138</x:v>
      </x:c>
      <x:c r="K64" s="20" t="n">
        <x:v>210</x:v>
      </x:c>
      <x:c r="L64" s="20" t="n">
        <x:f>IFERROR(ROUND(AVERAGE(J64:K64),0),"")</x:f>
        <x:v>174</x:v>
      </x:c>
      <x:c r="M64" s="14" t="str">
        <x:v>Levels.fyi metro senior SWE benchmark; company-specific Dallas senior+ data not confirmed</x:v>
      </x:c>
      <x:c r="N64" s="14" t="str">
        <x:v>https://github.com/mnutsch/DFW_Tech_Companies</x:v>
      </x:c>
      <x:c r="O64" s="14" t="str">
        <x:v>https://www.levels.fyi/t/software-engineer/levels/senior/locations/greater-dallas-area</x:v>
      </x:c>
      <x:c r="P64" s="14" t="str">
        <x:v>Benchmark used; DFW Tech Companies list includes Toyota Connected.</x:v>
      </x:c>
    </x:row>
    <x:row r="65" ht="54" customHeight="1">
      <x:c r="A65" s="16" t="n">
        <x:v>64</x:v>
      </x:c>
      <x:c r="B65" s="14" t="str">
        <x:v>Dallas/DFW</x:v>
      </x:c>
      <x:c r="C65" s="14" t="str">
        <x:v>Fort Worth</x:v>
      </x:c>
      <x:c r="D65" s="14" t="str">
        <x:v>American Airlines</x:v>
      </x:c>
      <x:c r="E65" s="14" t="str">
        <x:v>Fort Worth HQ/major DFW technology employer</x:v>
      </x:c>
      <x:c r="F65" s="14" t="str">
        <x:v>Airline commerce, operations, data platforms</x:v>
      </x:c>
      <x:c r="G65" s="14" t="str">
        <x:v>Backend, data, cloud, mobile, reliability</x:v>
      </x:c>
      <x:c r="H65" s="14" t="str">
        <x:v>Senior / Principal</x:v>
      </x:c>
      <x:c r="I65" s="14" t="str">
        <x:v>Dallas senior SWE benchmark: $138K–$210K p25–p75; median $168K; p90 $263K</x:v>
      </x:c>
      <x:c r="J65" s="20" t="n">
        <x:v>138</x:v>
      </x:c>
      <x:c r="K65" s="20" t="n">
        <x:v>210</x:v>
      </x:c>
      <x:c r="L65" s="20" t="n">
        <x:f>IFERROR(ROUND(AVERAGE(J65:K65),0),"")</x:f>
        <x:v>174</x:v>
      </x:c>
      <x:c r="M65" s="14" t="str">
        <x:v>Levels.fyi metro senior SWE benchmark; company-specific Dallas senior+ data not confirmed</x:v>
      </x:c>
      <x:c r="N65" s="14" t="str">
        <x:v>https://www.linkedin.com/pulse/linkedin-top-companies-2026-10-best-employers-grow-your-9pt0e</x:v>
      </x:c>
      <x:c r="O65" s="14" t="str">
        <x:v>https://www.levels.fyi/t/software-engineer/levels/senior/locations/greater-dallas-area</x:v>
      </x:c>
      <x:c r="P65" s="14" t="str">
        <x:v>Benchmark used; large in-house technology org.</x:v>
      </x:c>
    </x:row>
    <x:row r="66" ht="54" customHeight="1">
      <x:c r="A66" s="16" t="n">
        <x:v>65</x:v>
      </x:c>
      <x:c r="B66" s="14" t="str">
        <x:v>Dallas/DFW</x:v>
      </x:c>
      <x:c r="C66" s="14" t="str">
        <x:v>Dallas</x:v>
      </x:c>
      <x:c r="D66" s="14" t="str">
        <x:v>Southwest Airlines</x:v>
      </x:c>
      <x:c r="E66" s="14" t="str">
        <x:v>Dallas HQ/major airline technology employer</x:v>
      </x:c>
      <x:c r="F66" s="14" t="str">
        <x:v>Airline commerce, operations, data platforms</x:v>
      </x:c>
      <x:c r="G66" s="14" t="str">
        <x:v>Backend, data, mobile, reliability, cloud</x:v>
      </x:c>
      <x:c r="H66" s="14" t="str">
        <x:v>Senior / Principal</x:v>
      </x:c>
      <x:c r="I66" s="14" t="str">
        <x:v>Dallas senior SWE benchmark: $138K–$210K p25–p75; median $168K; p90 $263K</x:v>
      </x:c>
      <x:c r="J66" s="20" t="n">
        <x:v>138</x:v>
      </x:c>
      <x:c r="K66" s="20" t="n">
        <x:v>210</x:v>
      </x:c>
      <x:c r="L66" s="20" t="n">
        <x:f>IFERROR(ROUND(AVERAGE(J66:K66),0),"")</x:f>
        <x:v>174</x:v>
      </x:c>
      <x:c r="M66" s="14" t="str">
        <x:v>Levels.fyi metro senior SWE benchmark; company-specific Dallas senior+ data not confirmed</x:v>
      </x:c>
      <x:c r="N66" s="14" t="str">
        <x:v>https://www.linkedin.com/pulse/linkedin-top-companies-2026-10-best-employers-grow-your-9pt0e</x:v>
      </x:c>
      <x:c r="O66" s="14" t="str">
        <x:v>https://www.levels.fyi/t/software-engineer/levels/senior/locations/greater-dallas-area</x:v>
      </x:c>
      <x:c r="P66" s="14" t="str">
        <x:v>Benchmark used; large in-house SWE organization.</x:v>
      </x:c>
    </x:row>
    <x:row r="67" ht="54" customHeight="1">
      <x:c r="A67" s="16" t="n">
        <x:v>66</x:v>
      </x:c>
      <x:c r="B67" s="14" t="str">
        <x:v>Dallas/DFW</x:v>
      </x:c>
      <x:c r="C67" s="14" t="str">
        <x:v>Southlake</x:v>
      </x:c>
      <x:c r="D67" s="14" t="str">
        <x:v>Sabre</x:v>
      </x:c>
      <x:c r="E67" s="14" t="str">
        <x:v>Southlake travel-tech HQ/presence</x:v>
      </x:c>
      <x:c r="F67" s="14" t="str">
        <x:v>Travel technology, GDS, airline/hotel platforms</x:v>
      </x:c>
      <x:c r="G67" s="14" t="str">
        <x:v>Backend, data, platform, reliability, integrations</x:v>
      </x:c>
      <x:c r="H67" s="14" t="str">
        <x:v>Senior / Principal</x:v>
      </x:c>
      <x:c r="I67" s="14" t="str">
        <x:v>Dallas senior SWE benchmark: $138K–$210K p25–p75; median $168K; p90 $263K</x:v>
      </x:c>
      <x:c r="J67" s="20" t="n">
        <x:v>138</x:v>
      </x:c>
      <x:c r="K67" s="20" t="n">
        <x:v>210</x:v>
      </x:c>
      <x:c r="L67" s="20" t="n">
        <x:f>IFERROR(ROUND(AVERAGE(J67:K67),0),"")</x:f>
        <x:v>174</x:v>
      </x:c>
      <x:c r="M67" s="14" t="str">
        <x:v>Levels.fyi metro senior SWE benchmark; company-specific Dallas senior+ data not confirmed</x:v>
      </x:c>
      <x:c r="N67" s="14" t="str">
        <x:v>https://github.com/mnutsch/DFW_Tech_Companies</x:v>
      </x:c>
      <x:c r="O67" s="14" t="str">
        <x:v>https://www.levels.fyi/t/software-engineer/levels/senior/locations/greater-dallas-area</x:v>
      </x:c>
      <x:c r="P67" s="14" t="str">
        <x:v>Benchmark used; DFW Tech Companies list includes Sabre/TripCase.</x:v>
      </x:c>
    </x:row>
    <x:row r="68" ht="54" customHeight="1">
      <x:c r="A68" s="16" t="n">
        <x:v>67</x:v>
      </x:c>
      <x:c r="B68" s="14" t="str">
        <x:v>Dallas/DFW</x:v>
      </x:c>
      <x:c r="C68" s="14" t="str">
        <x:v>Irving / DFW</x:v>
      </x:c>
      <x:c r="D68" s="14" t="str">
        <x:v>Verizon</x:v>
      </x:c>
      <x:c r="E68" s="14" t="str">
        <x:v>DFW telecom/network technology presence</x:v>
      </x:c>
      <x:c r="F68" s="14" t="str">
        <x:v>Telecom, network/cloud software, data platforms</x:v>
      </x:c>
      <x:c r="G68" s="14" t="str">
        <x:v>Network software, backend, cloud, security, data</x:v>
      </x:c>
      <x:c r="H68" s="14" t="str">
        <x:v>Senior / Staff</x:v>
      </x:c>
      <x:c r="I68" s="14" t="str">
        <x:v>Dallas senior SWE benchmark: $138K–$210K p25–p75; median $168K; p90 $263K</x:v>
      </x:c>
      <x:c r="J68" s="20" t="n">
        <x:v>138</x:v>
      </x:c>
      <x:c r="K68" s="20" t="n">
        <x:v>210</x:v>
      </x:c>
      <x:c r="L68" s="20" t="n">
        <x:f>IFERROR(ROUND(AVERAGE(J68:K68),0),"")</x:f>
        <x:v>174</x:v>
      </x:c>
      <x:c r="M68" s="14" t="str">
        <x:v>Levels.fyi metro senior SWE benchmark; company-specific Dallas senior+ data not confirmed</x:v>
      </x:c>
      <x:c r="N68" s="14" t="str">
        <x:v>https://www.linkedin.com/pulse/linkedin-top-companies-2026-10-best-employers-grow-your-9pt0e</x:v>
      </x:c>
      <x:c r="O68" s="14" t="str">
        <x:v>https://www.levels.fyi/t/software-engineer/levels/senior/locations/greater-dallas-area</x:v>
      </x:c>
      <x:c r="P68" s="14" t="str">
        <x:v>Benchmark used; telecom/network software target.</x:v>
      </x:c>
    </x:row>
    <x:row r="69" ht="54" customHeight="1">
      <x:c r="A69" s="16" t="n">
        <x:v>68</x:v>
      </x:c>
      <x:c r="B69" s="14" t="str">
        <x:v>Dallas/DFW</x:v>
      </x:c>
      <x:c r="C69" s="14" t="str">
        <x:v>Plano / DFW</x:v>
      </x:c>
      <x:c r="D69" s="14" t="str">
        <x:v>Ericsson</x:v>
      </x:c>
      <x:c r="E69" s="14" t="str">
        <x:v>DFW telecom/network engineering presence</x:v>
      </x:c>
      <x:c r="F69" s="14" t="str">
        <x:v>5G, telecom infrastructure, network software</x:v>
      </x:c>
      <x:c r="G69" s="14" t="str">
        <x:v>Network software, cloud, embedded, systems, security</x:v>
      </x:c>
      <x:c r="H69" s="14" t="str">
        <x:v>Senior / Staff</x:v>
      </x:c>
      <x:c r="I69" s="14" t="str">
        <x:v>Dallas senior SWE benchmark: $138K–$210K p25–p75; median $168K; p90 $263K</x:v>
      </x:c>
      <x:c r="J69" s="20" t="n">
        <x:v>138</x:v>
      </x:c>
      <x:c r="K69" s="20" t="n">
        <x:v>210</x:v>
      </x:c>
      <x:c r="L69" s="20" t="n">
        <x:f>IFERROR(ROUND(AVERAGE(J69:K69),0),"")</x:f>
        <x:v>174</x:v>
      </x:c>
      <x:c r="M69" s="14" t="str">
        <x:v>Levels.fyi metro senior SWE benchmark; company-specific Dallas senior+ data not confirmed</x:v>
      </x:c>
      <x:c r="N69" s="14" t="str">
        <x:v>https://builtin.com/companies/location/dallas-fort-worth/type/software-companies</x:v>
      </x:c>
      <x:c r="O69" s="14" t="str">
        <x:v>https://www.levels.fyi/t/software-engineer/levels/senior/locations/greater-dallas-area</x:v>
      </x:c>
      <x:c r="P69" s="14" t="str">
        <x:v>Benchmark used; strong fit for networking/telecom engineers.</x:v>
      </x:c>
    </x:row>
    <x:row r="70" ht="54" customHeight="1">
      <x:c r="A70" s="16" t="n">
        <x:v>69</x:v>
      </x:c>
      <x:c r="B70" s="14" t="str">
        <x:v>Dallas/DFW</x:v>
      </x:c>
      <x:c r="C70" s="14" t="str">
        <x:v>Plano / DFW</x:v>
      </x:c>
      <x:c r="D70" s="14" t="str">
        <x:v>Nokia</x:v>
      </x:c>
      <x:c r="E70" s="14" t="str">
        <x:v>DFW telecom/network software presence</x:v>
      </x:c>
      <x:c r="F70" s="14" t="str">
        <x:v>5G, telecom infrastructure, network software</x:v>
      </x:c>
      <x:c r="G70" s="14" t="str">
        <x:v>Network software, cloud, embedded, systems</x:v>
      </x:c>
      <x:c r="H70" s="14" t="str">
        <x:v>Senior / Staff</x:v>
      </x:c>
      <x:c r="I70" s="14" t="str">
        <x:v>Dallas senior SWE benchmark: $138K–$210K p25–p75; median $168K; p90 $263K</x:v>
      </x:c>
      <x:c r="J70" s="20" t="n">
        <x:v>138</x:v>
      </x:c>
      <x:c r="K70" s="20" t="n">
        <x:v>210</x:v>
      </x:c>
      <x:c r="L70" s="20" t="n">
        <x:f>IFERROR(ROUND(AVERAGE(J70:K70),0),"")</x:f>
        <x:v>174</x:v>
      </x:c>
      <x:c r="M70" s="14" t="str">
        <x:v>Levels.fyi metro senior SWE benchmark; company-specific Dallas senior+ data not confirmed</x:v>
      </x:c>
      <x:c r="N70" s="14" t="str">
        <x:v>https://github.com/mnutsch/DFW_Tech_Companies</x:v>
      </x:c>
      <x:c r="O70" s="14" t="str">
        <x:v>https://www.levels.fyi/t/software-engineer/levels/senior/locations/greater-dallas-area</x:v>
      </x:c>
      <x:c r="P70" s="14" t="str">
        <x:v>Benchmark used; telecom engineering target.</x:v>
      </x:c>
    </x:row>
    <x:row r="71" ht="54" customHeight="1">
      <x:c r="A71" s="16" t="n">
        <x:v>70</x:v>
      </x:c>
      <x:c r="B71" s="14" t="str">
        <x:v>Dallas/DFW</x:v>
      </x:c>
      <x:c r="C71" s="14" t="str">
        <x:v>Dallas / Irving</x:v>
      </x:c>
      <x:c r="D71" s="14" t="str">
        <x:v>Oracle</x:v>
      </x:c>
      <x:c r="E71" s="14" t="str">
        <x:v>DFW enterprise/cloud presence</x:v>
      </x:c>
      <x:c r="F71" s="14" t="str">
        <x:v>Cloud infrastructure, databases, enterprise software</x:v>
      </x:c>
      <x:c r="G71" s="14" t="str">
        <x:v>Backend, cloud, database, platform, security</x:v>
      </x:c>
      <x:c r="H71" s="14" t="str">
        <x:v>Senior / Staff</x:v>
      </x:c>
      <x:c r="I71" s="14" t="str">
        <x:v>Dallas senior SWE benchmark: $138K–$210K p25–p75; median $168K; p90 $263K</x:v>
      </x:c>
      <x:c r="J71" s="20" t="n">
        <x:v>138</x:v>
      </x:c>
      <x:c r="K71" s="20" t="n">
        <x:v>210</x:v>
      </x:c>
      <x:c r="L71" s="20" t="n">
        <x:f>IFERROR(ROUND(AVERAGE(J71:K71),0),"")</x:f>
        <x:v>174</x:v>
      </x:c>
      <x:c r="M71" s="14" t="str">
        <x:v>Levels.fyi metro senior SWE benchmark; company-specific Dallas senior+ data not confirmed</x:v>
      </x:c>
      <x:c r="N71" s="14" t="str">
        <x:v>https://builtin.com/companies/location/dallas-fort-worth/type/software-companies</x:v>
      </x:c>
      <x:c r="O71" s="14" t="str">
        <x:v>https://www.levels.fyi/t/software-engineer/levels/senior/locations/greater-dallas-area</x:v>
      </x:c>
      <x:c r="P71" s="14" t="str">
        <x:v>Benchmark used; Dallas-specific company-level comp not confirmed.</x:v>
      </x:c>
    </x:row>
    <x:row r="72" ht="54" customHeight="1">
      <x:c r="A72" s="16" t="n">
        <x:v>71</x:v>
      </x:c>
      <x:c r="B72" s="14" t="str">
        <x:v>Dallas/DFW</x:v>
      </x:c>
      <x:c r="C72" s="14" t="str">
        <x:v>Dallas / DFW</x:v>
      </x:c>
      <x:c r="D72" s="14" t="str">
        <x:v>IBM</x:v>
      </x:c>
      <x:c r="E72" s="14" t="str">
        <x:v>DFW cloud/consulting/software presence</x:v>
      </x:c>
      <x:c r="F72" s="14" t="str">
        <x:v>Hybrid cloud, AI, enterprise platforms</x:v>
      </x:c>
      <x:c r="G72" s="14" t="str">
        <x:v>Backend, cloud, data, AI, security</x:v>
      </x:c>
      <x:c r="H72" s="14" t="str">
        <x:v>Senior / Staff / Architect</x:v>
      </x:c>
      <x:c r="I72" s="14" t="str">
        <x:v>Dallas senior SWE benchmark: $138K–$210K p25–p75; median $168K; p90 $263K</x:v>
      </x:c>
      <x:c r="J72" s="20" t="n">
        <x:v>138</x:v>
      </x:c>
      <x:c r="K72" s="20" t="n">
        <x:v>210</x:v>
      </x:c>
      <x:c r="L72" s="20" t="n">
        <x:f>IFERROR(ROUND(AVERAGE(J72:K72),0),"")</x:f>
        <x:v>174</x:v>
      </x:c>
      <x:c r="M72" s="14" t="str">
        <x:v>Levels.fyi metro senior SWE benchmark; company-specific Dallas senior+ data not confirmed</x:v>
      </x:c>
      <x:c r="N72" s="14" t="str">
        <x:v>https://github.com/mnutsch/DFW_Tech_Companies</x:v>
      </x:c>
      <x:c r="O72" s="14" t="str">
        <x:v>https://www.levels.fyi/t/software-engineer/levels/senior/locations/greater-dallas-area</x:v>
      </x:c>
      <x:c r="P72" s="14" t="str">
        <x:v>Benchmark used; some roles may sit in consulting organizations.</x:v>
      </x:c>
    </x:row>
    <x:row r="73" ht="54" customHeight="1">
      <x:c r="A73" s="16" t="n">
        <x:v>72</x:v>
      </x:c>
      <x:c r="B73" s="14" t="str">
        <x:v>Dallas/DFW</x:v>
      </x:c>
      <x:c r="C73" s="14" t="str">
        <x:v>Dallas / DFW</x:v>
      </x:c>
      <x:c r="D73" s="14" t="str">
        <x:v>Salesforce</x:v>
      </x:c>
      <x:c r="E73" s="14" t="str">
        <x:v>DFW CRM/cloud presence</x:v>
      </x:c>
      <x:c r="F73" s="14" t="str">
        <x:v>Enterprise SaaS, CRM, AI/cloud platform</x:v>
      </x:c>
      <x:c r="G73" s="14" t="str">
        <x:v>Backend, frontend, data, platform, security</x:v>
      </x:c>
      <x:c r="H73" s="14" t="str">
        <x:v>Senior / Staff</x:v>
      </x:c>
      <x:c r="I73" s="14" t="str">
        <x:v>Dallas senior SWE benchmark: $138K–$210K p25–p75; median $168K; p90 $263K</x:v>
      </x:c>
      <x:c r="J73" s="20" t="n">
        <x:v>138</x:v>
      </x:c>
      <x:c r="K73" s="20" t="n">
        <x:v>210</x:v>
      </x:c>
      <x:c r="L73" s="20" t="n">
        <x:f>IFERROR(ROUND(AVERAGE(J73:K73),0),"")</x:f>
        <x:v>174</x:v>
      </x:c>
      <x:c r="M73" s="14" t="str">
        <x:v>Levels.fyi metro senior SWE benchmark; company-specific Dallas senior+ data not confirmed</x:v>
      </x:c>
      <x:c r="N73" s="14" t="str">
        <x:v>https://github.com/mnutsch/DFW_Tech_Companies</x:v>
      </x:c>
      <x:c r="O73" s="14" t="str">
        <x:v>https://www.levels.fyi/t/software-engineer/levels/senior/locations/greater-dallas-area</x:v>
      </x:c>
      <x:c r="P73" s="14" t="str">
        <x:v>Benchmark used; DFW Tech Companies list includes Salesforce.</x:v>
      </x:c>
    </x:row>
    <x:row r="74" ht="54" customHeight="1">
      <x:c r="A74" s="16" t="n">
        <x:v>73</x:v>
      </x:c>
      <x:c r="B74" s="14" t="str">
        <x:v>Dallas/DFW</x:v>
      </x:c>
      <x:c r="C74" s="14" t="str">
        <x:v>Richardson / DFW</x:v>
      </x:c>
      <x:c r="D74" s="14" t="str">
        <x:v>Cisco</x:v>
      </x:c>
      <x:c r="E74" s="14" t="str">
        <x:v>DFW networking/security software presence</x:v>
      </x:c>
      <x:c r="F74" s="14" t="str">
        <x:v>Networking, security, observability, cloud</x:v>
      </x:c>
      <x:c r="G74" s="14" t="str">
        <x:v>Network software, security, backend, SRE</x:v>
      </x:c>
      <x:c r="H74" s="14" t="str">
        <x:v>Senior / Staff</x:v>
      </x:c>
      <x:c r="I74" s="14" t="str">
        <x:v>Dallas senior SWE benchmark: $138K–$210K p25–p75; median $168K; p90 $263K</x:v>
      </x:c>
      <x:c r="J74" s="20" t="n">
        <x:v>138</x:v>
      </x:c>
      <x:c r="K74" s="20" t="n">
        <x:v>210</x:v>
      </x:c>
      <x:c r="L74" s="20" t="n">
        <x:f>IFERROR(ROUND(AVERAGE(J74:K74),0),"")</x:f>
        <x:v>174</x:v>
      </x:c>
      <x:c r="M74" s="14" t="str">
        <x:v>Levels.fyi metro senior SWE benchmark; company-specific Dallas senior+ data not confirmed</x:v>
      </x:c>
      <x:c r="N74" s="14" t="str">
        <x:v>https://github.com/mnutsch/DFW_Tech_Companies</x:v>
      </x:c>
      <x:c r="O74" s="14" t="str">
        <x:v>https://www.levels.fyi/t/software-engineer/levels/senior/locations/greater-dallas-area</x:v>
      </x:c>
      <x:c r="P74" s="14" t="str">
        <x:v>Benchmark used; check Cisco/ThousandEyes/AppDynamics roles separately.</x:v>
      </x:c>
    </x:row>
    <x:row r="75" ht="54" customHeight="1">
      <x:c r="A75" s="16" t="n">
        <x:v>74</x:v>
      </x:c>
      <x:c r="B75" s="14" t="str">
        <x:v>Dallas/DFW</x:v>
      </x:c>
      <x:c r="C75" s="14" t="str">
        <x:v>Dallas / DFW</x:v>
      </x:c>
      <x:c r="D75" s="14" t="str">
        <x:v>Red Hat</x:v>
      </x:c>
      <x:c r="E75" s="14" t="str">
        <x:v>DFW open-source/cloud platform presence</x:v>
      </x:c>
      <x:c r="F75" s="14" t="str">
        <x:v>Linux, Kubernetes, OpenShift, cloud platforms</x:v>
      </x:c>
      <x:c r="G75" s="14" t="str">
        <x:v>Platform, backend, cloud, security, SRE</x:v>
      </x:c>
      <x:c r="H75" s="14" t="str">
        <x:v>Senior / Principal</x:v>
      </x:c>
      <x:c r="I75" s="14" t="str">
        <x:v>Dallas senior SWE benchmark: $138K–$210K p25–p75; median $168K; p90 $263K</x:v>
      </x:c>
      <x:c r="J75" s="20" t="n">
        <x:v>138</x:v>
      </x:c>
      <x:c r="K75" s="20" t="n">
        <x:v>210</x:v>
      </x:c>
      <x:c r="L75" s="20" t="n">
        <x:f>IFERROR(ROUND(AVERAGE(J75:K75),0),"")</x:f>
        <x:v>174</x:v>
      </x:c>
      <x:c r="M75" s="14" t="str">
        <x:v>Levels.fyi metro senior SWE benchmark; company-specific Dallas senior+ data not confirmed</x:v>
      </x:c>
      <x:c r="N75" s="14" t="str">
        <x:v>https://github.com/mnutsch/DFW_Tech_Companies</x:v>
      </x:c>
      <x:c r="O75" s="14" t="str">
        <x:v>https://www.levels.fyi/t/software-engineer/levels/senior/locations/greater-dallas-area</x:v>
      </x:c>
      <x:c r="P75" s="14" t="str">
        <x:v>Benchmark used; public DFW senior+ comp signal not confirmed.</x:v>
      </x:c>
    </x:row>
    <x:row r="76" ht="54" customHeight="1">
      <x:c r="A76" s="16" t="n">
        <x:v>75</x:v>
      </x:c>
      <x:c r="B76" s="14" t="str">
        <x:v>Dallas/DFW</x:v>
      </x:c>
      <x:c r="C76" s="14" t="str">
        <x:v>Plano / DFW</x:v>
      </x:c>
      <x:c r="D76" s="14" t="str">
        <x:v>NTT DATA</x:v>
      </x:c>
      <x:c r="E76" s="14" t="str">
        <x:v>Plano/DFW services and platform engineering presence</x:v>
      </x:c>
      <x:c r="F76" s="14" t="str">
        <x:v>IT services, platform engineering, cloud/data</x:v>
      </x:c>
      <x:c r="G76" s="14" t="str">
        <x:v>Backend, cloud, data, architecture, delivery</x:v>
      </x:c>
      <x:c r="H76" s="14" t="str">
        <x:v>Senior / Architect</x:v>
      </x:c>
      <x:c r="I76" s="14" t="str">
        <x:v>Dallas senior SWE benchmark: $138K–$210K p25–p75; median $168K; p90 $263K</x:v>
      </x:c>
      <x:c r="J76" s="20" t="n">
        <x:v>138</x:v>
      </x:c>
      <x:c r="K76" s="20" t="n">
        <x:v>210</x:v>
      </x:c>
      <x:c r="L76" s="20" t="n">
        <x:f>IFERROR(ROUND(AVERAGE(J76:K76),0),"")</x:f>
        <x:v>174</x:v>
      </x:c>
      <x:c r="M76" s="14" t="str">
        <x:v>Levels.fyi metro senior SWE benchmark; company-specific Dallas senior+ data not confirmed</x:v>
      </x:c>
      <x:c r="N76" s="14" t="str">
        <x:v>https://www.linkedin.com/pulse/linkedin-top-companies-2026-10-best-employers-grow-your-9pt0e</x:v>
      </x:c>
      <x:c r="O76" s="14" t="str">
        <x:v>https://www.levels.fyi/t/software-engineer/levels/senior/locations/greater-dallas-area</x:v>
      </x:c>
      <x:c r="P76" s="14" t="str">
        <x:v>Benchmark used; role quality varies by client/project.</x:v>
      </x:c>
    </x:row>
    <x:row r="77" ht="54" customHeight="1">
      <x:c r="A77" s="16" t="n">
        <x:v>76</x:v>
      </x:c>
      <x:c r="B77" s="14" t="str">
        <x:v>Dallas/DFW</x:v>
      </x:c>
      <x:c r="C77" s="14" t="str">
        <x:v>Richardson / DFW</x:v>
      </x:c>
      <x:c r="D77" s="14" t="str">
        <x:v>Infosys</x:v>
      </x:c>
      <x:c r="E77" s="14" t="str">
        <x:v>DFW IT services/software delivery presence</x:v>
      </x:c>
      <x:c r="F77" s="14" t="str">
        <x:v>IT services, enterprise apps, cloud/data</x:v>
      </x:c>
      <x:c r="G77" s="14" t="str">
        <x:v>Backend, cloud, data, architecture, delivery</x:v>
      </x:c>
      <x:c r="H77" s="14" t="str">
        <x:v>Senior / Lead / Architect</x:v>
      </x:c>
      <x:c r="I77" s="14" t="str">
        <x:v>Dallas senior SWE benchmark: $138K–$210K p25–p75; median $168K; p90 $263K</x:v>
      </x:c>
      <x:c r="J77" s="20" t="n">
        <x:v>138</x:v>
      </x:c>
      <x:c r="K77" s="20" t="n">
        <x:v>210</x:v>
      </x:c>
      <x:c r="L77" s="20" t="n">
        <x:f>IFERROR(ROUND(AVERAGE(J77:K77),0),"")</x:f>
        <x:v>174</x:v>
      </x:c>
      <x:c r="M77" s="14" t="str">
        <x:v>Levels.fyi metro senior SWE benchmark; company-specific Dallas senior+ data not confirmed</x:v>
      </x:c>
      <x:c r="N77" s="14" t="str">
        <x:v>https://www.linkedin.com/pulse/linkedin-top-companies-2026-10-best-employers-grow-your-9pt0e</x:v>
      </x:c>
      <x:c r="O77" s="14" t="str">
        <x:v>https://www.levels.fyi/t/software-engineer/levels/senior/locations/greater-dallas-area</x:v>
      </x:c>
      <x:c r="P77" s="14" t="str">
        <x:v>Benchmark used; filter for product/platform roles.</x:v>
      </x:c>
    </x:row>
    <x:row r="78" ht="54" customHeight="1">
      <x:c r="A78" s="16" t="n">
        <x:v>77</x:v>
      </x:c>
      <x:c r="B78" s="14" t="str">
        <x:v>Dallas/DFW</x:v>
      </x:c>
      <x:c r="C78" s="14" t="str">
        <x:v>Dallas / DFW</x:v>
      </x:c>
      <x:c r="D78" s="14" t="str">
        <x:v>Cognizant</x:v>
      </x:c>
      <x:c r="E78" s="14" t="str">
        <x:v>DFW IT services/software delivery presence</x:v>
      </x:c>
      <x:c r="F78" s="14" t="str">
        <x:v>IT services, enterprise apps, cloud/data</x:v>
      </x:c>
      <x:c r="G78" s="14" t="str">
        <x:v>Backend, cloud, data, architecture, delivery</x:v>
      </x:c>
      <x:c r="H78" s="14" t="str">
        <x:v>Senior / Lead / Architect</x:v>
      </x:c>
      <x:c r="I78" s="14" t="str">
        <x:v>Dallas senior SWE benchmark: $138K–$210K p25–p75; median $168K; p90 $263K</x:v>
      </x:c>
      <x:c r="J78" s="20" t="n">
        <x:v>138</x:v>
      </x:c>
      <x:c r="K78" s="20" t="n">
        <x:v>210</x:v>
      </x:c>
      <x:c r="L78" s="20" t="n">
        <x:f>IFERROR(ROUND(AVERAGE(J78:K78),0),"")</x:f>
        <x:v>174</x:v>
      </x:c>
      <x:c r="M78" s="14" t="str">
        <x:v>Levels.fyi metro senior SWE benchmark; company-specific Dallas senior+ data not confirmed</x:v>
      </x:c>
      <x:c r="N78" s="14" t="str">
        <x:v>https://www.linkedin.com/pulse/linkedin-top-companies-2026-10-best-employers-grow-your-9pt0e</x:v>
      </x:c>
      <x:c r="O78" s="14" t="str">
        <x:v>https://www.levels.fyi/t/software-engineer/levels/senior/locations/greater-dallas-area</x:v>
      </x:c>
      <x:c r="P78" s="14" t="str">
        <x:v>Benchmark used; client/project quality varies.</x:v>
      </x:c>
    </x:row>
    <x:row r="79" ht="54" customHeight="1">
      <x:c r="A79" s="16" t="n">
        <x:v>78</x:v>
      </x:c>
      <x:c r="B79" s="14" t="str">
        <x:v>Dallas/DFW</x:v>
      </x:c>
      <x:c r="C79" s="14" t="str">
        <x:v>Irving / Dallas</x:v>
      </x:c>
      <x:c r="D79" s="14" t="str">
        <x:v>Caterpillar / Cat Digital</x:v>
      </x:c>
      <x:c r="E79" s="14" t="str">
        <x:v>Listed in Built In Dallas software companies</x:v>
      </x:c>
      <x:c r="F79" s="14" t="str">
        <x:v>Industrial IoT, telematics, analytics, digital products</x:v>
      </x:c>
      <x:c r="G79" s="14" t="str">
        <x:v>Backend, data, IoT, cloud, mobile</x:v>
      </x:c>
      <x:c r="H79" s="14" t="str">
        <x:v>Senior / Staff</x:v>
      </x:c>
      <x:c r="I79" s="14" t="str">
        <x:v>Dallas senior SWE benchmark: $138K–$210K p25–p75; median $168K; p90 $263K</x:v>
      </x:c>
      <x:c r="J79" s="20" t="n">
        <x:v>138</x:v>
      </x:c>
      <x:c r="K79" s="20" t="n">
        <x:v>210</x:v>
      </x:c>
      <x:c r="L79" s="20" t="n">
        <x:f>IFERROR(ROUND(AVERAGE(J79:K79),0),"")</x:f>
        <x:v>174</x:v>
      </x:c>
      <x:c r="M79" s="14" t="str">
        <x:v>Levels.fyi metro senior SWE benchmark; company-specific Dallas senior+ data not confirmed</x:v>
      </x:c>
      <x:c r="N79" s="14" t="str">
        <x:v>https://builtin.com/companies/location/dallas-fort-worth/type/software-companies</x:v>
      </x:c>
      <x:c r="O79" s="14" t="str">
        <x:v>https://www.levels.fyi/t/software-engineer/levels/senior/locations/greater-dallas-area</x:v>
      </x:c>
      <x:c r="P79" s="14" t="str">
        <x:v>Built In notes Cat Digital creates digital products/services.</x:v>
      </x:c>
    </x:row>
    <x:row r="80" ht="54" customHeight="1">
      <x:c r="A80" s="16" t="n">
        <x:v>79</x:v>
      </x:c>
      <x:c r="B80" s="14" t="str">
        <x:v>Dallas/DFW</x:v>
      </x:c>
      <x:c r="C80" s="14" t="str">
        <x:v>Dallas / DFW</x:v>
      </x:c>
      <x:c r="D80" s="14" t="str">
        <x:v>BAE Systems</x:v>
      </x:c>
      <x:c r="E80" s="14" t="str">
        <x:v>Listed in Built In Dallas software companies</x:v>
      </x:c>
      <x:c r="F80" s="14" t="str">
        <x:v>Defense/security software, mission systems</x:v>
      </x:c>
      <x:c r="G80" s="14" t="str">
        <x:v>Embedded, security, systems, cloud/data</x:v>
      </x:c>
      <x:c r="H80" s="14" t="str">
        <x:v>Senior / Staff</x:v>
      </x:c>
      <x:c r="I80" s="14" t="str">
        <x:v>Dallas senior SWE benchmark: $138K–$210K p25–p75; median $168K; p90 $263K</x:v>
      </x:c>
      <x:c r="J80" s="20" t="n">
        <x:v>138</x:v>
      </x:c>
      <x:c r="K80" s="20" t="n">
        <x:v>210</x:v>
      </x:c>
      <x:c r="L80" s="20" t="n">
        <x:f>IFERROR(ROUND(AVERAGE(J80:K80),0),"")</x:f>
        <x:v>174</x:v>
      </x:c>
      <x:c r="M80" s="14" t="str">
        <x:v>Levels.fyi metro senior SWE benchmark; company-specific Dallas senior+ data not confirmed</x:v>
      </x:c>
      <x:c r="N80" s="14" t="str">
        <x:v>https://builtin.com/companies/location/dallas-fort-worth/type/software-companies</x:v>
      </x:c>
      <x:c r="O80" s="14" t="str">
        <x:v>https://www.levels.fyi/t/software-engineer/levels/senior/locations/greater-dallas-area</x:v>
      </x:c>
      <x:c r="P80" s="14" t="str">
        <x:v>Benchmark used; clearance may matter.</x:v>
      </x:c>
    </x:row>
    <x:row r="81" ht="54" customHeight="1">
      <x:c r="A81" s="16" t="n">
        <x:v>80</x:v>
      </x:c>
      <x:c r="B81" s="14" t="str">
        <x:v>Dallas/DFW</x:v>
      </x:c>
      <x:c r="C81" s="14" t="str">
        <x:v>Dallas / DFW</x:v>
      </x:c>
      <x:c r="D81" s="14" t="str">
        <x:v>Optum</x:v>
      </x:c>
      <x:c r="E81" s="14" t="str">
        <x:v>Listed in Built In Dallas software companies</x:v>
      </x:c>
      <x:c r="F81" s="14" t="str">
        <x:v>Healthtech, insurance/claims platforms, data</x:v>
      </x:c>
      <x:c r="G81" s="14" t="str">
        <x:v>Backend, data, cloud, security, platform</x:v>
      </x:c>
      <x:c r="H81" s="14" t="str">
        <x:v>Senior / Staff</x:v>
      </x:c>
      <x:c r="I81" s="14" t="str">
        <x:v>Dallas senior SWE benchmark: $138K–$210K p25–p75; median $168K; p90 $263K</x:v>
      </x:c>
      <x:c r="J81" s="20" t="n">
        <x:v>138</x:v>
      </x:c>
      <x:c r="K81" s="20" t="n">
        <x:v>210</x:v>
      </x:c>
      <x:c r="L81" s="20" t="n">
        <x:f>IFERROR(ROUND(AVERAGE(J81:K81),0),"")</x:f>
        <x:v>174</x:v>
      </x:c>
      <x:c r="M81" s="14" t="str">
        <x:v>Levels.fyi metro senior SWE benchmark; company-specific Dallas senior+ data not confirmed</x:v>
      </x:c>
      <x:c r="N81" s="14" t="str">
        <x:v>https://builtin.com/companies/location/dallas-fort-worth/type/software-companies</x:v>
      </x:c>
      <x:c r="O81" s="14" t="str">
        <x:v>https://www.levels.fyi/t/software-engineer/levels/senior/locations/greater-dallas-area</x:v>
      </x:c>
      <x:c r="P81" s="14" t="str">
        <x:v>Benchmark used; large healthtech platform roles.</x:v>
      </x:c>
    </x:row>
    <x:row r="82" ht="54" customHeight="1">
      <x:c r="A82" s="16" t="n">
        <x:v>81</x:v>
      </x:c>
      <x:c r="B82" s="14" t="str">
        <x:v>Dallas/DFW</x:v>
      </x:c>
      <x:c r="C82" s="14" t="str">
        <x:v>Dallas / DFW</x:v>
      </x:c>
      <x:c r="D82" s="14" t="str">
        <x:v>Snap Inc.</x:v>
      </x:c>
      <x:c r="E82" s="14" t="str">
        <x:v>Listed in Built In Dallas software companies</x:v>
      </x:c>
      <x:c r="F82" s="14" t="str">
        <x:v>Consumer, AR, ads, cloud/data platforms</x:v>
      </x:c>
      <x:c r="G82" s="14" t="str">
        <x:v>Backend, mobile, data, AR, infra</x:v>
      </x:c>
      <x:c r="H82" s="14" t="str">
        <x:v>Senior / Staff</x:v>
      </x:c>
      <x:c r="I82" s="14" t="str">
        <x:v>Dallas senior SWE benchmark: $138K–$210K p25–p75; median $168K; p90 $263K</x:v>
      </x:c>
      <x:c r="J82" s="20" t="n">
        <x:v>138</x:v>
      </x:c>
      <x:c r="K82" s="20" t="n">
        <x:v>210</x:v>
      </x:c>
      <x:c r="L82" s="20" t="n">
        <x:f>IFERROR(ROUND(AVERAGE(J82:K82),0),"")</x:f>
        <x:v>174</x:v>
      </x:c>
      <x:c r="M82" s="14" t="str">
        <x:v>Levels.fyi metro senior SWE benchmark; company-specific Dallas senior+ data not confirmed</x:v>
      </x:c>
      <x:c r="N82" s="14" t="str">
        <x:v>https://builtin.com/companies/location/dallas-fort-worth/type/software-companies</x:v>
      </x:c>
      <x:c r="O82" s="14" t="str">
        <x:v>https://www.levels.fyi/t/software-engineer/levels/senior/locations/greater-dallas-area</x:v>
      </x:c>
      <x:c r="P82" s="14" t="str">
        <x:v>Benchmark used; team-specific DFW footprint should be verified.</x:v>
      </x:c>
    </x:row>
    <x:row r="83" ht="54" customHeight="1">
      <x:c r="A83" s="16" t="n">
        <x:v>82</x:v>
      </x:c>
      <x:c r="B83" s="14" t="str">
        <x:v>Dallas/DFW</x:v>
      </x:c>
      <x:c r="C83" s="14" t="str">
        <x:v>Dallas / DFW</x:v>
      </x:c>
      <x:c r="D83" s="14" t="str">
        <x:v>Opendoor</x:v>
      </x:c>
      <x:c r="E83" s="14" t="str">
        <x:v>Listed in Built In Dallas software companies</x:v>
      </x:c>
      <x:c r="F83" s="14" t="str">
        <x:v>Proptech, marketplace, real estate data</x:v>
      </x:c>
      <x:c r="G83" s="14" t="str">
        <x:v>Backend, data, frontend, marketplace systems</x:v>
      </x:c>
      <x:c r="H83" s="14" t="str">
        <x:v>Senior / Staff</x:v>
      </x:c>
      <x:c r="I83" s="14" t="str">
        <x:v>Dallas senior SWE benchmark: $138K–$210K p25–p75; median $168K; p90 $263K</x:v>
      </x:c>
      <x:c r="J83" s="20" t="n">
        <x:v>138</x:v>
      </x:c>
      <x:c r="K83" s="20" t="n">
        <x:v>210</x:v>
      </x:c>
      <x:c r="L83" s="20" t="n">
        <x:f>IFERROR(ROUND(AVERAGE(J83:K83),0),"")</x:f>
        <x:v>174</x:v>
      </x:c>
      <x:c r="M83" s="14" t="str">
        <x:v>Levels.fyi metro senior SWE benchmark; company-specific Dallas senior+ data not confirmed</x:v>
      </x:c>
      <x:c r="N83" s="14" t="str">
        <x:v>https://builtin.com/companies/location/dallas-fort-worth/type/software-companies</x:v>
      </x:c>
      <x:c r="O83" s="14" t="str">
        <x:v>https://www.levels.fyi/t/software-engineer/levels/senior/locations/greater-dallas-area</x:v>
      </x:c>
      <x:c r="P83" s="14" t="str">
        <x:v>Benchmark used; verify local openings.</x:v>
      </x:c>
    </x:row>
    <x:row r="84" ht="54" customHeight="1">
      <x:c r="A84" s="16" t="n">
        <x:v>83</x:v>
      </x:c>
      <x:c r="B84" s="14" t="str">
        <x:v>Dallas/DFW</x:v>
      </x:c>
      <x:c r="C84" s="14" t="str">
        <x:v>Irving</x:v>
      </x:c>
      <x:c r="D84" s="14" t="str">
        <x:v>7-Eleven</x:v>
      </x:c>
      <x:c r="E84" s="14" t="str">
        <x:v>Irving HQ/major retail-tech presence</x:v>
      </x:c>
      <x:c r="F84" s="14" t="str">
        <x:v>Retail tech, commerce, supply chain, data platforms</x:v>
      </x:c>
      <x:c r="G84" s="14" t="str">
        <x:v>Backend, data, mobile, cloud, payments/loyalty</x:v>
      </x:c>
      <x:c r="H84" s="14" t="str">
        <x:v>Senior / Lead</x:v>
      </x:c>
      <x:c r="I84" s="14" t="str">
        <x:v>Levels.fyi Dallas SWE: Senior $162K, Lead $171K</x:v>
      </x:c>
      <x:c r="J84" s="20" t="n">
        <x:v>162</x:v>
      </x:c>
      <x:c r="K84" s="20" t="n">
        <x:v>171</x:v>
      </x:c>
      <x:c r="L84" s="20" t="n">
        <x:f>IFERROR(ROUND(AVERAGE(J84:K84),0),"")</x:f>
        <x:v>167</x:v>
      </x:c>
      <x:c r="M84" s="14" t="str">
        <x:v>Levels.fyi company metro senior+ data</x:v>
      </x:c>
      <x:c r="N84" s="14" t="str">
        <x:v>https://www.linkedin.com/pulse/linkedin-top-companies-2026-10-best-employers-grow-your-9pt0e</x:v>
      </x:c>
      <x:c r="O84" s="14" t="str">
        <x:v>https://www.levels.fyi/companies/7-eleven/salaries/software-engineer/locations/greater-dallas-area</x:v>
      </x:c>
      <x:c r="P84" s="14" t="str">
        <x:v>Retail tech with large digital/customer platform needs.</x:v>
      </x:c>
    </x:row>
    <x:row r="85" ht="54" customHeight="1">
      <x:c r="A85" s="16" t="n">
        <x:v>84</x:v>
      </x:c>
      <x:c r="B85" s="14" t="str">
        <x:v>Dallas/DFW</x:v>
      </x:c>
      <x:c r="C85" s="14" t="str">
        <x:v>Irving / DFW</x:v>
      </x:c>
      <x:c r="D85" s="14" t="str">
        <x:v>McKesson</x:v>
      </x:c>
      <x:c r="E85" s="14" t="str">
        <x:v>Large DFW healthcare technology/business presence</x:v>
      </x:c>
      <x:c r="F85" s="14" t="str">
        <x:v>Healthcare distribution, data/platform software</x:v>
      </x:c>
      <x:c r="G85" s="14" t="str">
        <x:v>Backend, data, cloud, integrations, security</x:v>
      </x:c>
      <x:c r="H85" s="14" t="str">
        <x:v>Senior / Principal</x:v>
      </x:c>
      <x:c r="I85" s="14" t="str">
        <x:v>Dallas senior SWE benchmark: $138K–$210K p25–p75; median $168K; p90 $263K</x:v>
      </x:c>
      <x:c r="J85" s="20" t="n">
        <x:v>138</x:v>
      </x:c>
      <x:c r="K85" s="20" t="n">
        <x:v>210</x:v>
      </x:c>
      <x:c r="L85" s="20" t="n">
        <x:f>IFERROR(ROUND(AVERAGE(J85:K85),0),"")</x:f>
        <x:v>174</x:v>
      </x:c>
      <x:c r="M85" s="14" t="str">
        <x:v>Levels.fyi metro senior SWE benchmark; company-specific Dallas senior+ data not confirmed</x:v>
      </x:c>
      <x:c r="N85" s="14" t="str">
        <x:v>https://www.linkedin.com/pulse/linkedin-top-companies-2026-10-best-employers-grow-your-9pt0e</x:v>
      </x:c>
      <x:c r="O85" s="14" t="str">
        <x:v>https://www.levels.fyi/t/software-engineer/levels/senior/locations/greater-dallas-area</x:v>
      </x:c>
      <x:c r="P85" s="14" t="str">
        <x:v>Benchmark used; large in-house enterprise tech org.</x:v>
      </x:c>
    </x:row>
    <x:row r="86" ht="54" customHeight="1">
      <x:c r="A86" s="16" t="n">
        <x:v>85</x:v>
      </x:c>
      <x:c r="B86" s="14" t="str">
        <x:v>Dallas/DFW</x:v>
      </x:c>
      <x:c r="C86" s="14" t="str">
        <x:v>Fort Worth</x:v>
      </x:c>
      <x:c r="D86" s="14" t="str">
        <x:v>GM Financial</x:v>
      </x:c>
      <x:c r="E86" s="14" t="str">
        <x:v>Fort Worth/DFW financial platform employer</x:v>
      </x:c>
      <x:c r="F86" s="14" t="str">
        <x:v>Auto finance, fintech platforms, data</x:v>
      </x:c>
      <x:c r="G86" s="14" t="str">
        <x:v>Backend, cloud, data, security, integrations</x:v>
      </x:c>
      <x:c r="H86" s="14" t="str">
        <x:v>Senior / Principal</x:v>
      </x:c>
      <x:c r="I86" s="14" t="str">
        <x:v>Dallas senior SWE benchmark: $138K–$210K p25–p75; median $168K; p90 $263K</x:v>
      </x:c>
      <x:c r="J86" s="20" t="n">
        <x:v>138</x:v>
      </x:c>
      <x:c r="K86" s="20" t="n">
        <x:v>210</x:v>
      </x:c>
      <x:c r="L86" s="20" t="n">
        <x:f>IFERROR(ROUND(AVERAGE(J86:K86),0),"")</x:f>
        <x:v>174</x:v>
      </x:c>
      <x:c r="M86" s="14" t="str">
        <x:v>Levels.fyi metro senior SWE benchmark; company-specific Dallas senior+ data not confirmed</x:v>
      </x:c>
      <x:c r="N86" s="14" t="str">
        <x:v>https://www.linkedin.com/pulse/linkedin-top-companies-2026-10-best-employers-grow-your-9pt0e</x:v>
      </x:c>
      <x:c r="O86" s="14" t="str">
        <x:v>https://www.levels.fyi/t/software-engineer/levels/senior/locations/greater-dallas-area</x:v>
      </x:c>
      <x:c r="P86" s="14" t="str">
        <x:v>Benchmark used; financial-platform target.</x:v>
      </x:c>
    </x:row>
    <x:row r="87" ht="54" customHeight="1">
      <x:c r="A87" s="16" t="n">
        <x:v>86</x:v>
      </x:c>
      <x:c r="B87" s="14" t="str">
        <x:v>Dallas/DFW</x:v>
      </x:c>
      <x:c r="C87" s="14" t="str">
        <x:v>Plano / DFW</x:v>
      </x:c>
      <x:c r="D87" s="14" t="str">
        <x:v>USAA</x:v>
      </x:c>
      <x:c r="E87" s="14" t="str">
        <x:v>Plano/DFW insurance/financial platform presence</x:v>
      </x:c>
      <x:c r="F87" s="14" t="str">
        <x:v>Insurance, banking, data, security platforms</x:v>
      </x:c>
      <x:c r="G87" s="14" t="str">
        <x:v>Backend, data, cloud, security, mobile</x:v>
      </x:c>
      <x:c r="H87" s="14" t="str">
        <x:v>Senior / Principal</x:v>
      </x:c>
      <x:c r="I87" s="14" t="str">
        <x:v>Dallas senior SWE benchmark: $138K–$210K p25–p75; median $168K; p90 $263K</x:v>
      </x:c>
      <x:c r="J87" s="20" t="n">
        <x:v>138</x:v>
      </x:c>
      <x:c r="K87" s="20" t="n">
        <x:v>210</x:v>
      </x:c>
      <x:c r="L87" s="20" t="n">
        <x:f>IFERROR(ROUND(AVERAGE(J87:K87),0),"")</x:f>
        <x:v>174</x:v>
      </x:c>
      <x:c r="M87" s="14" t="str">
        <x:v>Levels.fyi metro senior SWE benchmark; company-specific Dallas senior+ data not confirmed</x:v>
      </x:c>
      <x:c r="N87" s="14" t="str">
        <x:v>https://www.linkedin.com/pulse/linkedin-top-companies-2026-10-best-employers-grow-your-9pt0e</x:v>
      </x:c>
      <x:c r="O87" s="14" t="str">
        <x:v>https://www.levels.fyi/t/software-engineer/levels/senior/locations/greater-dallas-area</x:v>
      </x:c>
      <x:c r="P87" s="14" t="str">
        <x:v>Benchmark used; regulated financial software.</x:v>
      </x:c>
    </x:row>
    <x:row r="88" ht="54" customHeight="1">
      <x:c r="A88" s="16" t="n">
        <x:v>87</x:v>
      </x:c>
      <x:c r="B88" s="14" t="str">
        <x:v>Dallas/DFW</x:v>
      </x:c>
      <x:c r="C88" s="14" t="str">
        <x:v>Plano</x:v>
      </x:c>
      <x:c r="D88" s="14" t="str">
        <x:v>Tyler Technologies</x:v>
      </x:c>
      <x:c r="E88" s="14" t="str">
        <x:v>Plano govtech software HQ/presence</x:v>
      </x:c>
      <x:c r="F88" s="14" t="str">
        <x:v>Government software, courts, civic platforms</x:v>
      </x:c>
      <x:c r="G88" s="14" t="str">
        <x:v>Backend, frontend, cloud, data, integrations</x:v>
      </x:c>
      <x:c r="H88" s="14" t="str">
        <x:v>Senior / Principal</x:v>
      </x:c>
      <x:c r="I88" s="14" t="str">
        <x:v>Dallas senior SWE benchmark: $138K–$210K p25–p75; median $168K; p90 $263K</x:v>
      </x:c>
      <x:c r="J88" s="20" t="n">
        <x:v>138</x:v>
      </x:c>
      <x:c r="K88" s="20" t="n">
        <x:v>210</x:v>
      </x:c>
      <x:c r="L88" s="20" t="n">
        <x:f>IFERROR(ROUND(AVERAGE(J88:K88),0),"")</x:f>
        <x:v>174</x:v>
      </x:c>
      <x:c r="M88" s="14" t="str">
        <x:v>Levels.fyi metro senior SWE benchmark; company-specific Dallas senior+ data not confirmed</x:v>
      </x:c>
      <x:c r="N88" s="14" t="str">
        <x:v>https://github.com/mnutsch/DFW_Tech_Companies</x:v>
      </x:c>
      <x:c r="O88" s="14" t="str">
        <x:v>https://www.levels.fyi/t/software-engineer/levels/senior/locations/greater-dallas-area</x:v>
      </x:c>
      <x:c r="P88" s="14" t="str">
        <x:v>DFW Tech Companies list includes Tyler Technologies.</x:v>
      </x:c>
    </x:row>
    <x:row r="89" ht="54" customHeight="1">
      <x:c r="A89" s="16" t="n">
        <x:v>88</x:v>
      </x:c>
      <x:c r="B89" s="14" t="str">
        <x:v>Dallas/DFW</x:v>
      </x:c>
      <x:c r="C89" s="14" t="str">
        <x:v>Richardson</x:v>
      </x:c>
      <x:c r="D89" s="14" t="str">
        <x:v>RealPage</x:v>
      </x:c>
      <x:c r="E89" s="14" t="str">
        <x:v>Richardson property-management SaaS HQ/presence</x:v>
      </x:c>
      <x:c r="F89" s="14" t="str">
        <x:v>Property management SaaS, payments/data platforms</x:v>
      </x:c>
      <x:c r="G89" s="14" t="str">
        <x:v>Backend, data, cloud, frontend, integrations</x:v>
      </x:c>
      <x:c r="H89" s="14" t="str">
        <x:v>Senior / Staff</x:v>
      </x:c>
      <x:c r="I89" s="14" t="str">
        <x:v>Dallas senior SWE benchmark: $138K–$210K p25–p75; median $168K; p90 $263K</x:v>
      </x:c>
      <x:c r="J89" s="20" t="n">
        <x:v>138</x:v>
      </x:c>
      <x:c r="K89" s="20" t="n">
        <x:v>210</x:v>
      </x:c>
      <x:c r="L89" s="20" t="n">
        <x:f>IFERROR(ROUND(AVERAGE(J89:K89),0),"")</x:f>
        <x:v>174</x:v>
      </x:c>
      <x:c r="M89" s="14" t="str">
        <x:v>Levels.fyi metro senior SWE benchmark; company-specific Dallas senior+ data not confirmed</x:v>
      </x:c>
      <x:c r="N89" s="14" t="str">
        <x:v>https://github.com/mnutsch/DFW_Tech_Companies</x:v>
      </x:c>
      <x:c r="O89" s="14" t="str">
        <x:v>https://www.levels.fyi/t/software-engineer/levels/senior/locations/greater-dallas-area</x:v>
      </x:c>
      <x:c r="P89" s="14" t="str">
        <x:v>DFW Tech Companies list includes RealPage.</x:v>
      </x:c>
    </x:row>
    <x:row r="90" ht="54" customHeight="1">
      <x:c r="A90" s="16" t="n">
        <x:v>89</x:v>
      </x:c>
      <x:c r="B90" s="14" t="str">
        <x:v>Dallas/DFW</x:v>
      </x:c>
      <x:c r="C90" s="14" t="str">
        <x:v>Plano</x:v>
      </x:c>
      <x:c r="D90" s="14" t="str">
        <x:v>Alkami Technology</x:v>
      </x:c>
      <x:c r="E90" s="14" t="str">
        <x:v>Plano digital-banking SaaS employer</x:v>
      </x:c>
      <x:c r="F90" s="14" t="str">
        <x:v>Digital banking SaaS, fintech, cloud platforms</x:v>
      </x:c>
      <x:c r="G90" s="14" t="str">
        <x:v>Backend, cloud, data, frontend, security</x:v>
      </x:c>
      <x:c r="H90" s="14" t="str">
        <x:v>Senior / Staff</x:v>
      </x:c>
      <x:c r="I90" s="14" t="str">
        <x:v>Dallas senior SWE benchmark: $138K–$210K p25–p75; median $168K; p90 $263K</x:v>
      </x:c>
      <x:c r="J90" s="20" t="n">
        <x:v>138</x:v>
      </x:c>
      <x:c r="K90" s="20" t="n">
        <x:v>210</x:v>
      </x:c>
      <x:c r="L90" s="20" t="n">
        <x:f>IFERROR(ROUND(AVERAGE(J90:K90),0),"")</x:f>
        <x:v>174</x:v>
      </x:c>
      <x:c r="M90" s="14" t="str">
        <x:v>Levels.fyi metro senior SWE benchmark; company-specific Dallas senior+ data not confirmed</x:v>
      </x:c>
      <x:c r="N90" s="14" t="str">
        <x:v>https://builtin.com/companies/location/dallas-fort-worth/type/software-companies</x:v>
      </x:c>
      <x:c r="O90" s="14" t="str">
        <x:v>https://www.levels.fyi/t/software-engineer/levels/senior/locations/greater-dallas-area</x:v>
      </x:c>
      <x:c r="P90" s="14" t="str">
        <x:v>Benchmark used; strong fintech/SaaS target.</x:v>
      </x:c>
    </x:row>
    <x:row r="91" ht="54" customHeight="1">
      <x:c r="A91" s="16" t="n">
        <x:v>90</x:v>
      </x:c>
      <x:c r="B91" s="14" t="str">
        <x:v>Dallas/DFW</x:v>
      </x:c>
      <x:c r="C91" s="14" t="str">
        <x:v>Dallas</x:v>
      </x:c>
      <x:c r="D91" s="14" t="str">
        <x:v>Bestow</x:v>
      </x:c>
      <x:c r="E91" s="14" t="str">
        <x:v>Listed in Built In Dallas software companies</x:v>
      </x:c>
      <x:c r="F91" s="14" t="str">
        <x:v>Insurtech, underwriting platforms, data</x:v>
      </x:c>
      <x:c r="G91" s="14" t="str">
        <x:v>Backend, data, cloud, integrations</x:v>
      </x:c>
      <x:c r="H91" s="14" t="str">
        <x:v>Senior / Staff</x:v>
      </x:c>
      <x:c r="I91" s="14" t="str">
        <x:v>Dallas senior SWE benchmark: $138K–$210K p25–p75; median $168K; p90 $263K</x:v>
      </x:c>
      <x:c r="J91" s="20" t="n">
        <x:v>138</x:v>
      </x:c>
      <x:c r="K91" s="20" t="n">
        <x:v>210</x:v>
      </x:c>
      <x:c r="L91" s="20" t="n">
        <x:f>IFERROR(ROUND(AVERAGE(J91:K91),0),"")</x:f>
        <x:v>174</x:v>
      </x:c>
      <x:c r="M91" s="14" t="str">
        <x:v>Levels.fyi metro senior SWE benchmark; company-specific Dallas senior+ data not confirmed</x:v>
      </x:c>
      <x:c r="N91" s="14" t="str">
        <x:v>https://builtin.com/companies/location/dallas-fort-worth/type/software-companies</x:v>
      </x:c>
      <x:c r="O91" s="14" t="str">
        <x:v>https://www.levels.fyi/t/software-engineer/levels/senior/locations/greater-dallas-area</x:v>
      </x:c>
      <x:c r="P91" s="14" t="str">
        <x:v>Benchmark used; product-led insurtech.</x:v>
      </x:c>
    </x:row>
    <x:row r="92" ht="54" customHeight="1">
      <x:c r="A92" s="16" t="n">
        <x:v>91</x:v>
      </x:c>
      <x:c r="B92" s="14" t="str">
        <x:v>Dallas/DFW</x:v>
      </x:c>
      <x:c r="C92" s="14" t="str">
        <x:v>Dallas</x:v>
      </x:c>
      <x:c r="D92" s="14" t="str">
        <x:v>Apex Fintech Solutions</x:v>
      </x:c>
      <x:c r="E92" s="14" t="str">
        <x:v>Listed in Built In Dallas software companies</x:v>
      </x:c>
      <x:c r="F92" s="14" t="str">
        <x:v>Brokerage/clearing infrastructure, fintech</x:v>
      </x:c>
      <x:c r="G92" s="14" t="str">
        <x:v>Backend, platform, data, security, integrations</x:v>
      </x:c>
      <x:c r="H92" s="14" t="str">
        <x:v>Senior / Staff</x:v>
      </x:c>
      <x:c r="I92" s="14" t="str">
        <x:v>Dallas senior SWE benchmark: $138K–$210K p25–p75; median $168K; p90 $263K</x:v>
      </x:c>
      <x:c r="J92" s="20" t="n">
        <x:v>138</x:v>
      </x:c>
      <x:c r="K92" s="20" t="n">
        <x:v>210</x:v>
      </x:c>
      <x:c r="L92" s="20" t="n">
        <x:f>IFERROR(ROUND(AVERAGE(J92:K92),0),"")</x:f>
        <x:v>174</x:v>
      </x:c>
      <x:c r="M92" s="14" t="str">
        <x:v>Levels.fyi metro senior SWE benchmark; company-specific Dallas senior+ data not confirmed</x:v>
      </x:c>
      <x:c r="N92" s="14" t="str">
        <x:v>https://builtin.com/companies/location/dallas-fort-worth/type/software-companies</x:v>
      </x:c>
      <x:c r="O92" s="14" t="str">
        <x:v>https://www.levels.fyi/t/software-engineer/levels/senior/locations/greater-dallas-area</x:v>
      </x:c>
      <x:c r="P92" s="14" t="str">
        <x:v>Benchmark used; fintech platform roles.</x:v>
      </x:c>
    </x:row>
    <x:row r="93" ht="54" customHeight="1">
      <x:c r="A93" s="16" t="n">
        <x:v>92</x:v>
      </x:c>
      <x:c r="B93" s="14" t="str">
        <x:v>Dallas/DFW</x:v>
      </x:c>
      <x:c r="C93" s="14" t="str">
        <x:v>Dallas / DFW</x:v>
      </x:c>
      <x:c r="D93" s="14" t="str">
        <x:v>OCC</x:v>
      </x:c>
      <x:c r="E93" s="14" t="str">
        <x:v>Listed in Built In Dallas tech-company sources</x:v>
      </x:c>
      <x:c r="F93" s="14" t="str">
        <x:v>Clearing, risk, financial infrastructure</x:v>
      </x:c>
      <x:c r="G93" s="14" t="str">
        <x:v>Backend, data, reliability, security, platform</x:v>
      </x:c>
      <x:c r="H93" s="14" t="str">
        <x:v>Senior / Staff</x:v>
      </x:c>
      <x:c r="I93" s="14" t="str">
        <x:v>Dallas senior SWE benchmark: $138K–$210K p25–p75; median $168K; p90 $263K</x:v>
      </x:c>
      <x:c r="J93" s="20" t="n">
        <x:v>138</x:v>
      </x:c>
      <x:c r="K93" s="20" t="n">
        <x:v>210</x:v>
      </x:c>
      <x:c r="L93" s="20" t="n">
        <x:f>IFERROR(ROUND(AVERAGE(J93:K93),0),"")</x:f>
        <x:v>174</x:v>
      </x:c>
      <x:c r="M93" s="14" t="str">
        <x:v>Levels.fyi metro senior SWE benchmark; company-specific Dallas senior+ data not confirmed</x:v>
      </x:c>
      <x:c r="N93" s="14" t="str">
        <x:v>https://builtin.com/companies/location/dallas-fort-worth/type/software-companies</x:v>
      </x:c>
      <x:c r="O93" s="14" t="str">
        <x:v>https://www.levels.fyi/t/software-engineer/levels/senior/locations/greater-dallas-area</x:v>
      </x:c>
      <x:c r="P93" s="14" t="str">
        <x:v>Benchmark used; finance infrastructure target.</x:v>
      </x:c>
    </x:row>
    <x:row r="94" ht="54" customHeight="1">
      <x:c r="A94" s="16" t="n">
        <x:v>93</x:v>
      </x:c>
      <x:c r="B94" s="14" t="str">
        <x:v>Dallas/DFW</x:v>
      </x:c>
      <x:c r="C94" s="14" t="str">
        <x:v>Dallas / DFW</x:v>
      </x:c>
      <x:c r="D94" s="14" t="str">
        <x:v>Enverus</x:v>
      </x:c>
      <x:c r="E94" s="14" t="str">
        <x:v>DFW/Austin energy SaaS/data employer</x:v>
      </x:c>
      <x:c r="F94" s="14" t="str">
        <x:v>Energy SaaS, analytics, data platforms</x:v>
      </x:c>
      <x:c r="G94" s="14" t="str">
        <x:v>Backend, data, GIS, analytics, frontend</x:v>
      </x:c>
      <x:c r="H94" s="14" t="str">
        <x:v>Senior / Staff</x:v>
      </x:c>
      <x:c r="I94" s="14" t="str">
        <x:v>Dallas senior SWE benchmark: $138K–$210K p25–p75; median $168K; p90 $263K</x:v>
      </x:c>
      <x:c r="J94" s="20" t="n">
        <x:v>138</x:v>
      </x:c>
      <x:c r="K94" s="20" t="n">
        <x:v>210</x:v>
      </x:c>
      <x:c r="L94" s="20" t="n">
        <x:f>IFERROR(ROUND(AVERAGE(J94:K94),0),"")</x:f>
        <x:v>174</x:v>
      </x:c>
      <x:c r="M94" s="14" t="str">
        <x:v>Levels.fyi metro senior SWE benchmark; company-specific Dallas senior+ data not confirmed</x:v>
      </x:c>
      <x:c r="N94" s="14" t="str">
        <x:v>https://builtin.com/companies/location/dallas-fort-worth/type/software-companies</x:v>
      </x:c>
      <x:c r="O94" s="14" t="str">
        <x:v>https://www.levels.fyi/t/software-engineer/levels/senior/locations/greater-dallas-area</x:v>
      </x:c>
      <x:c r="P94" s="14" t="str">
        <x:v>Benchmark used; energy/data software.</x:v>
      </x:c>
    </x:row>
    <x:row r="95" ht="54" customHeight="1">
      <x:c r="A95" s="16" t="n">
        <x:v>94</x:v>
      </x:c>
      <x:c r="B95" s="14" t="str">
        <x:v>Dallas/DFW</x:v>
      </x:c>
      <x:c r="C95" s="14" t="str">
        <x:v>Dallas / DFW</x:v>
      </x:c>
      <x:c r="D95" s="14" t="str">
        <x:v>Qualtrics</x:v>
      </x:c>
      <x:c r="E95" s="14" t="str">
        <x:v>Listed in Built In Dallas software companies</x:v>
      </x:c>
      <x:c r="F95" s="14" t="str">
        <x:v>Experience management SaaS, AI/data</x:v>
      </x:c>
      <x:c r="G95" s="14" t="str">
        <x:v>Backend, data, frontend, platform</x:v>
      </x:c>
      <x:c r="H95" s="14" t="str">
        <x:v>Senior / Staff</x:v>
      </x:c>
      <x:c r="I95" s="14" t="str">
        <x:v>Dallas senior SWE benchmark: $138K–$210K p25–p75; median $168K; p90 $263K</x:v>
      </x:c>
      <x:c r="J95" s="20" t="n">
        <x:v>138</x:v>
      </x:c>
      <x:c r="K95" s="20" t="n">
        <x:v>210</x:v>
      </x:c>
      <x:c r="L95" s="20" t="n">
        <x:f>IFERROR(ROUND(AVERAGE(J95:K95),0),"")</x:f>
        <x:v>174</x:v>
      </x:c>
      <x:c r="M95" s="14" t="str">
        <x:v>Levels.fyi metro senior SWE benchmark; company-specific Dallas senior+ data not confirmed</x:v>
      </x:c>
      <x:c r="N95" s="14" t="str">
        <x:v>https://builtin.com/companies/location/dallas-fort-worth/type/software-companies</x:v>
      </x:c>
      <x:c r="O95" s="14" t="str">
        <x:v>https://www.levels.fyi/t/software-engineer/levels/senior/locations/greater-dallas-area</x:v>
      </x:c>
      <x:c r="P95" s="14" t="str">
        <x:v>Benchmark used; product/SaaS target.</x:v>
      </x:c>
    </x:row>
    <x:row r="96" ht="54" customHeight="1">
      <x:c r="A96" s="16" t="n">
        <x:v>95</x:v>
      </x:c>
      <x:c r="B96" s="14" t="str">
        <x:v>Dallas/DFW</x:v>
      </x:c>
      <x:c r="C96" s="14" t="str">
        <x:v>Dallas</x:v>
      </x:c>
      <x:c r="D96" s="14" t="str">
        <x:v>FieldPulse</x:v>
      </x:c>
      <x:c r="E96" s="14" t="str">
        <x:v>Listed in Built In Dallas software companies</x:v>
      </x:c>
      <x:c r="F96" s="14" t="str">
        <x:v>Field-service management SaaS</x:v>
      </x:c>
      <x:c r="G96" s="14" t="str">
        <x:v>Backend, mobile, frontend, payments/integrations</x:v>
      </x:c>
      <x:c r="H96" s="14" t="str">
        <x:v>Senior / Staff</x:v>
      </x:c>
      <x:c r="I96" s="14" t="str">
        <x:v>Dallas senior SWE benchmark: $138K–$210K p25–p75; median $168K; p90 $263K</x:v>
      </x:c>
      <x:c r="J96" s="20" t="n">
        <x:v>138</x:v>
      </x:c>
      <x:c r="K96" s="20" t="n">
        <x:v>210</x:v>
      </x:c>
      <x:c r="L96" s="20" t="n">
        <x:f>IFERROR(ROUND(AVERAGE(J96:K96),0),"")</x:f>
        <x:v>174</x:v>
      </x:c>
      <x:c r="M96" s="14" t="str">
        <x:v>Levels.fyi metro senior SWE benchmark; company-specific Dallas senior+ data not confirmed</x:v>
      </x:c>
      <x:c r="N96" s="14" t="str">
        <x:v>https://builtin.com/companies/location/dallas-fort-worth/type/software-companies</x:v>
      </x:c>
      <x:c r="O96" s="14" t="str">
        <x:v>https://www.levels.fyi/t/software-engineer/levels/senior/locations/greater-dallas-area</x:v>
      </x:c>
      <x:c r="P96" s="14" t="str">
        <x:v>Benchmark used; smaller SaaS company.</x:v>
      </x:c>
    </x:row>
    <x:row r="97" ht="54" customHeight="1">
      <x:c r="A97" s="16" t="n">
        <x:v>96</x:v>
      </x:c>
      <x:c r="B97" s="14" t="str">
        <x:v>Dallas/DFW</x:v>
      </x:c>
      <x:c r="C97" s="14" t="str">
        <x:v>Dallas</x:v>
      </x:c>
      <x:c r="D97" s="14" t="str">
        <x:v>o9 Solutions</x:v>
      </x:c>
      <x:c r="E97" s="14" t="str">
        <x:v>Dallas-based AI planning/supply-chain software company</x:v>
      </x:c>
      <x:c r="F97" s="14" t="str">
        <x:v>Supply-chain planning, AI/analytics SaaS</x:v>
      </x:c>
      <x:c r="G97" s="14" t="str">
        <x:v>Backend, data, optimization, platform, frontend</x:v>
      </x:c>
      <x:c r="H97" s="14" t="str">
        <x:v>Senior / Staff</x:v>
      </x:c>
      <x:c r="I97" s="14" t="str">
        <x:v>Dallas senior SWE benchmark: $138K–$210K p25–p75; median $168K; p90 $263K</x:v>
      </x:c>
      <x:c r="J97" s="20" t="n">
        <x:v>138</x:v>
      </x:c>
      <x:c r="K97" s="20" t="n">
        <x:v>210</x:v>
      </x:c>
      <x:c r="L97" s="20" t="n">
        <x:f>IFERROR(ROUND(AVERAGE(J97:K97),0),"")</x:f>
        <x:v>174</x:v>
      </x:c>
      <x:c r="M97" s="14" t="str">
        <x:v>Levels.fyi metro senior SWE benchmark; company-specific Dallas senior+ data not confirmed</x:v>
      </x:c>
      <x:c r="N97" s="14" t="str">
        <x:v>https://github.com/mnutsch/DFW_Tech_Companies</x:v>
      </x:c>
      <x:c r="O97" s="14" t="str">
        <x:v>https://www.levels.fyi/t/software-engineer/levels/senior/locations/greater-dallas-area</x:v>
      </x:c>
      <x:c r="P97" s="14" t="str">
        <x:v>Benchmark used; high-skill data/optimization roles.</x:v>
      </x:c>
    </x:row>
    <x:row r="98" ht="54" customHeight="1">
      <x:c r="A98" s="16" t="n">
        <x:v>97</x:v>
      </x:c>
      <x:c r="B98" s="14" t="str">
        <x:v>Dallas/DFW</x:v>
      </x:c>
      <x:c r="C98" s="14" t="str">
        <x:v>Dallas</x:v>
      </x:c>
      <x:c r="D98" s="14" t="str">
        <x:v>One Network Enterprises</x:v>
      </x:c>
      <x:c r="E98" s="14" t="str">
        <x:v>DFW supply-chain network/cloud software company</x:v>
      </x:c>
      <x:c r="F98" s="14" t="str">
        <x:v>Supply-chain network, logistics SaaS</x:v>
      </x:c>
      <x:c r="G98" s="14" t="str">
        <x:v>Backend, distributed systems, data, integrations</x:v>
      </x:c>
      <x:c r="H98" s="14" t="str">
        <x:v>Senior / Staff</x:v>
      </x:c>
      <x:c r="I98" s="14" t="str">
        <x:v>Dallas senior SWE benchmark: $138K–$210K p25–p75; median $168K; p90 $263K</x:v>
      </x:c>
      <x:c r="J98" s="20" t="n">
        <x:v>138</x:v>
      </x:c>
      <x:c r="K98" s="20" t="n">
        <x:v>210</x:v>
      </x:c>
      <x:c r="L98" s="20" t="n">
        <x:f>IFERROR(ROUND(AVERAGE(J98:K98),0),"")</x:f>
        <x:v>174</x:v>
      </x:c>
      <x:c r="M98" s="14" t="str">
        <x:v>Levels.fyi metro senior SWE benchmark; company-specific Dallas senior+ data not confirmed</x:v>
      </x:c>
      <x:c r="N98" s="14" t="str">
        <x:v>https://github.com/mnutsch/DFW_Tech_Companies</x:v>
      </x:c>
      <x:c r="O98" s="14" t="str">
        <x:v>https://www.levels.fyi/t/software-engineer/levels/senior/locations/greater-dallas-area</x:v>
      </x:c>
      <x:c r="P98" s="14" t="str">
        <x:v>DFW Tech Companies list includes ONE Network.</x:v>
      </x:c>
    </x:row>
    <x:row r="99" ht="54" customHeight="1">
      <x:c r="A99" s="16" t="n">
        <x:v>98</x:v>
      </x:c>
      <x:c r="B99" s="14" t="str">
        <x:v>Dallas/DFW</x:v>
      </x:c>
      <x:c r="C99" s="14" t="str">
        <x:v>Dallas / DFW</x:v>
      </x:c>
      <x:c r="D99" s="14" t="str">
        <x:v>Omnitracs / Solera</x:v>
      </x:c>
      <x:c r="E99" s="14" t="str">
        <x:v>DFW fleet/logistics/auto software presence</x:v>
      </x:c>
      <x:c r="F99" s="14" t="str">
        <x:v>Fleet management, logistics, vehicle/data software</x:v>
      </x:c>
      <x:c r="G99" s="14" t="str">
        <x:v>Backend, data, mobile/embedded, cloud</x:v>
      </x:c>
      <x:c r="H99" s="14" t="str">
        <x:v>Senior / Staff</x:v>
      </x:c>
      <x:c r="I99" s="14" t="str">
        <x:v>Dallas senior SWE benchmark: $138K–$210K p25–p75; median $168K; p90 $263K</x:v>
      </x:c>
      <x:c r="J99" s="20" t="n">
        <x:v>138</x:v>
      </x:c>
      <x:c r="K99" s="20" t="n">
        <x:v>210</x:v>
      </x:c>
      <x:c r="L99" s="20" t="n">
        <x:f>IFERROR(ROUND(AVERAGE(J99:K99),0),"")</x:f>
        <x:v>174</x:v>
      </x:c>
      <x:c r="M99" s="14" t="str">
        <x:v>Levels.fyi metro senior SWE benchmark; company-specific Dallas senior+ data not confirmed</x:v>
      </x:c>
      <x:c r="N99" s="14" t="str">
        <x:v>https://github.com/mnutsch/DFW_Tech_Companies</x:v>
      </x:c>
      <x:c r="O99" s="14" t="str">
        <x:v>https://www.levels.fyi/t/software-engineer/levels/senior/locations/greater-dallas-area</x:v>
      </x:c>
      <x:c r="P99" s="14" t="str">
        <x:v>DFW Tech Companies list includes Omnitracs and Solera/R3Pi.</x:v>
      </x:c>
    </x:row>
    <x:row r="100" ht="54" customHeight="1">
      <x:c r="A100" s="16" t="n">
        <x:v>99</x:v>
      </x:c>
      <x:c r="B100" s="14" t="str">
        <x:v>Dallas/DFW</x:v>
      </x:c>
      <x:c r="C100" s="14" t="str">
        <x:v>Dallas</x:v>
      </x:c>
      <x:c r="D100" s="14" t="str">
        <x:v>Zimperium</x:v>
      </x:c>
      <x:c r="E100" s="14" t="str">
        <x:v>Dallas mobile-security software company</x:v>
      </x:c>
      <x:c r="F100" s="14" t="str">
        <x:v>Mobile security, endpoint security, threat defense</x:v>
      </x:c>
      <x:c r="G100" s="14" t="str">
        <x:v>Security, backend, mobile, data, cloud</x:v>
      </x:c>
      <x:c r="H100" s="14" t="str">
        <x:v>Senior / Staff</x:v>
      </x:c>
      <x:c r="I100" s="14" t="str">
        <x:v>Dallas senior SWE benchmark: $138K–$210K p25–p75; median $168K; p90 $263K</x:v>
      </x:c>
      <x:c r="J100" s="20" t="n">
        <x:v>138</x:v>
      </x:c>
      <x:c r="K100" s="20" t="n">
        <x:v>210</x:v>
      </x:c>
      <x:c r="L100" s="20" t="n">
        <x:f>IFERROR(ROUND(AVERAGE(J100:K100),0),"")</x:f>
        <x:v>174</x:v>
      </x:c>
      <x:c r="M100" s="14" t="str">
        <x:v>Levels.fyi metro senior SWE benchmark; company-specific Dallas senior+ data not confirmed</x:v>
      </x:c>
      <x:c r="N100" s="14" t="str">
        <x:v>https://github.com/mnutsch/DFW_Tech_Companies</x:v>
      </x:c>
      <x:c r="O100" s="14" t="str">
        <x:v>https://www.levels.fyi/t/software-engineer/levels/senior/locations/greater-dallas-area</x:v>
      </x:c>
      <x:c r="P100" s="14" t="str">
        <x:v>DFW Tech Companies list includes Zimperium.</x:v>
      </x:c>
    </x:row>
    <x:row r="101" ht="54" customHeight="1">
      <x:c r="A101" s="16" t="n">
        <x:v>100</x:v>
      </x:c>
      <x:c r="B101" s="14" t="str">
        <x:v>Dallas/DFW</x:v>
      </x:c>
      <x:c r="C101" s="14" t="str">
        <x:v>Dallas</x:v>
      </x:c>
      <x:c r="D101" s="14" t="str">
        <x:v>Island</x:v>
      </x:c>
      <x:c r="E101" s="14" t="str">
        <x:v>Dallas enterprise-browser/cybersecurity company</x:v>
      </x:c>
      <x:c r="F101" s="14" t="str">
        <x:v>Enterprise browser, cybersecurity, endpoint/cloud security</x:v>
      </x:c>
      <x:c r="G101" s="14" t="str">
        <x:v>Security, browser, backend, cloud, platform</x:v>
      </x:c>
      <x:c r="H101" s="14" t="str">
        <x:v>Senior / Staff</x:v>
      </x:c>
      <x:c r="I101" s="14" t="str">
        <x:v>Dallas senior SWE benchmark: $138K–$210K p25–p75; median $168K; p90 $263K</x:v>
      </x:c>
      <x:c r="J101" s="20" t="n">
        <x:v>138</x:v>
      </x:c>
      <x:c r="K101" s="20" t="n">
        <x:v>210</x:v>
      </x:c>
      <x:c r="L101" s="20" t="n">
        <x:f>IFERROR(ROUND(AVERAGE(J101:K101),0),"")</x:f>
        <x:v>174</x:v>
      </x:c>
      <x:c r="M101" s="14" t="str">
        <x:v>Levels.fyi metro senior SWE benchmark; company-specific Dallas senior+ data not confirmed</x:v>
      </x:c>
      <x:c r="N101" s="14" t="str">
        <x:v>https://builtin.com/companies/location/dallas-fort-worth/type/software-companies</x:v>
      </x:c>
      <x:c r="O101" s="14" t="str">
        <x:v>https://www.levels.fyi/t/software-engineer/levels/senior/locations/greater-dallas-area</x:v>
      </x:c>
      <x:c r="P101" s="14" t="str">
        <x:v>Benchmark used; modern cybersecurity product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f57ffbf04d804d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 ht="32" customHeight="1">
      <x:c r="A1" s="40" t="str">
        <x:v>Top IT / Software Company Targets: Austin + Dallas/DFW</x:v>
      </x:c>
      <x:c r="B1" s="12" t="str"/>
    </x:row>
    <x:row r="2" ht="34" customHeight="1">
      <x:c r="A2" s="44" t="str">
        <x:v>Prepared date</x:v>
      </x:c>
      <x:c r="B2" s="14" t="str">
        <x:v>2026-07-06</x:v>
      </x:c>
    </x:row>
    <x:row r="3" ht="34" customHeight="1">
      <x:c r="A3" s="44" t="str">
        <x:v>Scope</x:v>
      </x:c>
      <x:c r="B3" s="14" t="str">
        <x:v>100 total company targets: 50 Austin and 50 Dallas/DFW.</x:v>
      </x:c>
    </x:row>
    <x:row r="4" ht="34" customHeight="1">
      <x:c r="A4" s="44" t="str">
        <x:v>Ranking approach</x:v>
      </x:c>
      <x:c r="B4" s="14" t="str">
        <x:v>Practical job-target ranking based on public local presence, software org relevance, brand/career value, and senior SWE compensation signal.</x:v>
      </x:c>
    </x:row>
    <x:row r="5" ht="34" customHeight="1">
      <x:c r="A5" s="44" t="str">
        <x:v>Compensation definition</x:v>
      </x:c>
      <x:c r="B5" s="14" t="str">
        <x:v>Annual total compensation (base + stock + bonus) when Levels.fyi data is available. Values are in thousands of USD.</x:v>
      </x:c>
    </x:row>
    <x:row r="6" ht="34" customHeight="1">
      <x:c r="A6" s="44" t="str">
        <x:v>Important caution</x:v>
      </x:c>
      <x:c r="B6" s="14" t="str">
        <x:v>Company-specific public comp data is incomplete; rows marked as metro benchmark should be verified by exact team, level, and offer stage.</x:v>
      </x:c>
    </x:row>
    <x:row r="7" ht="34" customHeight="1">
      <x:c r="A7" s="44" t="str">
        <x:v>Austin benchmark</x:v>
      </x:c>
      <x:c r="B7" s="14" t="str">
        <x:v>Levels.fyi senior SWE Greater Austin: $175K–$282K p25–p75; $223K median; $356K p90; last updated 2026-07-05.</x:v>
      </x:c>
    </x:row>
    <x:row r="8" ht="34" customHeight="1">
      <x:c r="A8" s="44" t="str">
        <x:v>Dallas benchmark</x:v>
      </x:c>
      <x:c r="B8" s="14" t="str">
        <x:v>Levels.fyi senior SWE Greater Dallas: $138K–$210K p25–p75; $168K median; $263K p90; last updated 2026-07-04.</x:v>
      </x:c>
    </x:row>
    <x:row r="9" ht="34" customHeight="1">
      <x:c r="A9" s="14" t="str"/>
      <x:c r="B9" s="14" t="str"/>
    </x:row>
    <x:row r="10" ht="34" customHeight="1">
      <x:c r="A10" s="45" t="str">
        <x:v>Metric</x:v>
      </x:c>
      <x:c r="B10" s="45" t="str">
        <x:v>Formula / Value</x:v>
      </x:c>
    </x:row>
    <x:row r="11" ht="34" customHeight="1">
      <x:c r="A11" s="14" t="str">
        <x:v>Austin company count</x:v>
      </x:c>
      <x:c r="B11" s="14" t="n">
        <x:f>COUNTIF('Top 100'!B:B,"Austin")</x:f>
        <x:v>50</x:v>
      </x:c>
    </x:row>
    <x:row r="12" ht="34" customHeight="1">
      <x:c r="A12" s="14" t="str">
        <x:v>Dallas/DFW company count</x:v>
      </x:c>
      <x:c r="B12" s="14" t="n">
        <x:f>COUNTIF('Top 100'!B:B,"Dallas/DFW")</x:f>
        <x:v>50</x:v>
      </x:c>
    </x:row>
    <x:row r="13" ht="34" customHeight="1">
      <x:c r="A13" s="14" t="str">
        <x:v>Company-specific comp rows</x:v>
      </x:c>
      <x:c r="B13" s="14" t="n">
        <x:f>COUNTIF('Top 100'!M:M,"Levels.fyi company metro senior+ data")+COUNTIF('Top 100'!M:M,"Levels.fyi company metro data")+COUNTIF('Top 100'!M:M,"Levels.fyi company metro data; level fit varies by role")+COUNTIF('Top 100'!M:M,"Levels.fyi company metro all-level data")+COUNTIF('Top 100'!M:M,"Levels.fyi company metro all-level data plus Austin senior benchmark floor")</x:f>
        <x:v>28</x:v>
      </x:c>
    </x:row>
    <x:row r="14" ht="34" customHeight="1">
      <x:c r="A14" s="14" t="str">
        <x:v>Benchmark-comp rows</x:v>
      </x:c>
      <x:c r="B14" s="14" t="n">
        <x:f>COUNTIF('Top 100'!M:M,"Levels.fyi metro senior SWE benchmark; company-specific Austin senior+ data not confirmed")+COUNTIF('Top 100'!M:M,"Levels.fyi metro senior SWE benchmark; company-specific Dallas senior+ data not confirmed")</x:f>
        <x:v>72</x:v>
      </x:c>
    </x:row>
    <x:row r="15" ht="34" customHeight="1">
      <x:c r="A15" s="14" t="str">
        <x:v>Austin avg TC midpoint $K</x:v>
      </x:c>
      <x:c r="B15" s="14" t="n">
        <x:f>ROUND(AVERAGEIF('Top 100'!B:B,"Austin",'Top 100'!L:L),0)</x:f>
        <x:v>262</x:v>
      </x:c>
    </x:row>
    <x:row r="16" ht="34" customHeight="1">
      <x:c r="A16" s="14" t="str">
        <x:v>Dallas/DFW avg TC midpoint $K</x:v>
      </x:c>
      <x:c r="B16" s="14" t="n">
        <x:f>ROUND(AVERAGEIF('Top 100'!B:B,"Dallas/DFW",'Top 100'!L:L),0)</x:f>
        <x:v>180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6" hidden="0" customWidth="1"/>
    <x:col min="3" max="3" width="34" hidden="0" customWidth="1"/>
    <x:col min="4" max="4" width="64" hidden="0" customWidth="1"/>
  </x:cols>
  <x:sheetData>
    <x:row r="1" ht="34" customHeight="1">
      <x:c r="A1" s="6" t="str">
        <x:v>Source</x:v>
      </x:c>
      <x:c r="B1" s="6" t="str">
        <x:v>URL</x:v>
      </x:c>
      <x:c r="C1" s="6" t="str">
        <x:v>Used for</x:v>
      </x:c>
      <x:c r="D1" s="6" t="str">
        <x:v>Notes</x:v>
      </x:c>
    </x:row>
    <x:row r="2" ht="42" customHeight="1">
      <x:c r="A2" s="14" t="str">
        <x:v>Built In Austin software directory</x:v>
      </x:c>
      <x:c r="B2" s="14" t="str">
        <x:v>https://www.builtinaustin.com/companies/type/software-companies</x:v>
      </x:c>
      <x:c r="C2" s="14" t="str">
        <x:v>Austin software-company discovery</x:v>
      </x:c>
      <x:c r="D2" s="14" t="str">
        <x:v>Directory page for Austin software companies.</x:v>
      </x:c>
    </x:row>
    <x:row r="3" ht="42" customHeight="1">
      <x:c r="A3" s="14" t="str">
        <x:v>Built In Austin software companies article</x:v>
      </x:c>
      <x:c r="B3" s="14" t="str">
        <x:v>https://www.builtinaustin.com/articles/software-companies-in-austin-to-know</x:v>
      </x:c>
      <x:c r="C3" s="14" t="str">
        <x:v>Austin software-company discovery</x:v>
      </x:c>
      <x:c r="D3" s="14" t="str">
        <x:v>Article listing many Austin software companies and descriptions.</x:v>
      </x:c>
    </x:row>
    <x:row r="4" ht="42" customHeight="1">
      <x:c r="A4" s="14" t="str">
        <x:v>Opportunity Austin major employers</x:v>
      </x:c>
      <x:c r="B4" s="14" t="str">
        <x:v>https://opportunityaustin.com/economic-development/major-employers/</x:v>
      </x:c>
      <x:c r="C4" s="14" t="str">
        <x:v>Austin major employer verification</x:v>
      </x:c>
      <x:c r="D4" s="14" t="str">
        <x:v>Used for larger local employers such as Apple, Dell, IBM, Samsung, Tesla.</x:v>
      </x:c>
    </x:row>
    <x:row r="5" ht="42" customHeight="1">
      <x:c r="A5" s="14" t="str">
        <x:v>Round Rock Chamber major employers</x:v>
      </x:c>
      <x:c r="B5" s="14" t="str">
        <x:v>https://roundrockchamber.org/doing-business/major-employers/</x:v>
      </x:c>
      <x:c r="C5" s="14" t="str">
        <x:v>Austin/Round Rock tech employer context</x:v>
      </x:c>
      <x:c r="D5" s="14" t="str">
        <x:v>Used for Round Rock/Austin metro anchor employers.</x:v>
      </x:c>
    </x:row>
    <x:row r="6" ht="42" customHeight="1">
      <x:c r="A6" s="14" t="str">
        <x:v>Built In Dallas software directory</x:v>
      </x:c>
      <x:c r="B6" s="14" t="str">
        <x:v>https://builtin.com/companies/location/dallas-fort-worth/type/software-companies</x:v>
      </x:c>
      <x:c r="C6" s="14" t="str">
        <x:v>Dallas/DFW software-company discovery</x:v>
      </x:c>
      <x:c r="D6" s="14" t="str">
        <x:v>Directory page for Dallas-Fort Worth software companies.</x:v>
      </x:c>
    </x:row>
    <x:row r="7" ht="42" customHeight="1">
      <x:c r="A7" s="14" t="str">
        <x:v>DFW Tech Companies curated list</x:v>
      </x:c>
      <x:c r="B7" s="14" t="str">
        <x:v>https://github.com/mnutsch/DFW_Tech_Companies</x:v>
      </x:c>
      <x:c r="C7" s="14" t="str">
        <x:v>Additional DFW tech/SaaS discovery</x:v>
      </x:c>
      <x:c r="D7" s="14" t="str">
        <x:v>Curated DFW list; some entries should be verified against current openings.</x:v>
      </x:c>
    </x:row>
    <x:row r="8" ht="42" customHeight="1">
      <x:c r="A8" s="14" t="str">
        <x:v>LinkedIn Top Companies Dallas 2026</x:v>
      </x:c>
      <x:c r="B8" s="14" t="str">
        <x:v>https://www.linkedin.com/pulse/linkedin-top-companies-2026-10-best-employers-grow-your-9pt0e</x:v>
      </x:c>
      <x:c r="C8" s="14" t="str">
        <x:v>Large Dallas employer/career-growth context</x:v>
      </x:c>
      <x:c r="D8" s="14" t="str">
        <x:v>Used for larger non-pure-software employers with SWE teams.</x:v>
      </x:c>
    </x:row>
    <x:row r="9" ht="42" customHeight="1">
      <x:c r="A9" s="14" t="str">
        <x:v>Levels.fyi Austin senior SWE benchmark</x:v>
      </x:c>
      <x:c r="B9" s="14" t="str">
        <x:v>https://www.levels.fyi/t/software-engineer/levels/senior/locations/greater-austin-area</x:v>
      </x:c>
      <x:c r="C9" s="14" t="str">
        <x:v>Austin benchmark comp</x:v>
      </x:c>
      <x:c r="D9" s="14" t="str">
        <x:v>Senior Software Engineer p25/p75/median/p90 benchmark.</x:v>
      </x:c>
    </x:row>
    <x:row r="10" ht="42" customHeight="1">
      <x:c r="A10" s="14" t="str">
        <x:v>Levels.fyi Dallas senior SWE benchmark</x:v>
      </x:c>
      <x:c r="B10" s="14" t="str">
        <x:v>https://www.levels.fyi/t/software-engineer/levels/senior/locations/greater-dallas-area</x:v>
      </x:c>
      <x:c r="C10" s="14" t="str">
        <x:v>Dallas benchmark comp</x:v>
      </x:c>
      <x:c r="D10" s="14" t="str">
        <x:v>Senior Software Engineer p25/p75/median/p90 benchmark.</x:v>
      </x:c>
    </x:row>
    <x:row r="11" ht="42" customHeight="1">
      <x:c r="A11" s="14" t="str">
        <x:v>Levels.fyi company pages</x:v>
      </x:c>
      <x:c r="B11" s="14" t="str">
        <x:v>See row-level Levels/comp URL column in Top 100</x:v>
      </x:c>
      <x:c r="C11" s="14" t="str">
        <x:v>Company-specific compensation data</x:v>
      </x:c>
      <x:c r="D11" s="14" t="str">
        <x:v>Used when company+metro SWE compensation was available in public Levels.fyi pages.</x:v>
      </x:c>
    </x:row>
  </x:sheetData>
  <x:pageMargins left="0.7" right="0.7" top="0.75" bottom="0.75" header="0.3" footer="0.3"/>
  <x:tableParts count="1">
    <x:tablePart xmlns:r="http://schemas.openxmlformats.org/officeDocument/2006/relationships" r:id="R8fd83fcb015f48a4"/>
  </x:tableParts>
</x:worksheet>
</file>